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tion Items" sheetId="1" state="visible" r:id="rId1"/>
    <sheet xmlns:r="http://schemas.openxmlformats.org/officeDocument/2006/relationships" name="Summary" sheetId="2" state="visible" r:id="rId2"/>
  </sheets>
  <definedNames>
    <definedName name="_xlnm._FilterDatabase" localSheetId="0" hidden="1">'Action Items'!$A$1:$I$51</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6">
    <font>
      <name val="Calibri"/>
      <family val="2"/>
      <color theme="1"/>
      <sz val="11"/>
      <scheme val="minor"/>
    </font>
    <font>
      <b val="1"/>
      <color rgb="00FFFFFF"/>
      <sz val="11"/>
    </font>
    <font>
      <sz val="10"/>
    </font>
    <font>
      <b val="1"/>
      <sz val="11"/>
    </font>
    <font>
      <b val="1"/>
      <sz val="10"/>
    </font>
    <font>
      <b val="1"/>
    </font>
  </fonts>
  <fills count="4">
    <fill>
      <patternFill/>
    </fill>
    <fill>
      <patternFill patternType="gray125"/>
    </fill>
    <fill>
      <patternFill patternType="solid">
        <fgColor rgb="00008080"/>
        <bgColor rgb="00008080"/>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wrapText="1"/>
    </xf>
    <xf numFmtId="165" fontId="2" fillId="0" borderId="1" applyAlignment="1" pivotButton="0" quotePrefix="0" xfId="0">
      <alignment vertical="center" wrapText="1"/>
    </xf>
    <xf numFmtId="1" fontId="2" fillId="0" borderId="1" applyAlignment="1" pivotButton="0" quotePrefix="0" xfId="0">
      <alignment vertical="center" wrapText="1"/>
    </xf>
    <xf numFmtId="0" fontId="2" fillId="3" borderId="1" applyAlignment="1" pivotButton="0" quotePrefix="0" xfId="0">
      <alignment vertical="center" wrapText="1"/>
    </xf>
    <xf numFmtId="165" fontId="2" fillId="3" borderId="1" applyAlignment="1" pivotButton="0" quotePrefix="0" xfId="0">
      <alignment vertical="center" wrapText="1"/>
    </xf>
    <xf numFmtId="1" fontId="2" fillId="3" borderId="1" applyAlignment="1" pivotButton="0" quotePrefix="0" xfId="0">
      <alignment vertical="center" wrapText="1"/>
    </xf>
    <xf numFmtId="0" fontId="1" fillId="2" borderId="1" applyAlignment="1" pivotButton="0" quotePrefix="0" xfId="0">
      <alignment horizontal="center" vertical="center"/>
    </xf>
    <xf numFmtId="0" fontId="3" fillId="0" borderId="0" pivotButton="0" quotePrefix="0" xfId="0"/>
    <xf numFmtId="0" fontId="2" fillId="0" borderId="1" pivotButton="0" quotePrefix="0" xfId="0"/>
    <xf numFmtId="0" fontId="2" fillId="0" borderId="1" applyAlignment="1" pivotButton="0" quotePrefix="0" xfId="0">
      <alignment horizontal="center"/>
    </xf>
    <xf numFmtId="0" fontId="4" fillId="0" borderId="1" applyAlignment="1" pivotButton="0" quotePrefix="0" xfId="0">
      <alignment horizontal="center"/>
    </xf>
    <xf numFmtId="0" fontId="5" fillId="0" borderId="1" applyAlignment="1" pivotButton="0" quotePrefix="0" xfId="0">
      <alignment horizontal="center"/>
    </xf>
  </cellXfs>
  <cellStyles count="1">
    <cellStyle name="Normal" xfId="0" builtinId="0" hidden="0"/>
  </cellStyles>
  <dxfs count="3">
    <dxf>
      <fill>
        <patternFill patternType="solid">
          <fgColor rgb="00C6EFCE"/>
          <bgColor rgb="00C6EFCE"/>
        </patternFill>
      </fill>
    </dxf>
    <dxf>
      <fill>
        <patternFill patternType="solid">
          <fgColor rgb="00FFC7CE"/>
          <bgColor rgb="00FFC7CE"/>
        </patternFill>
      </fill>
    </dxf>
    <dxf>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55" customWidth="1" min="3" max="3"/>
    <col width="20" customWidth="1" min="4" max="4"/>
    <col width="14" customWidth="1" min="5" max="5"/>
    <col width="18" customWidth="1" min="6" max="6"/>
    <col width="14" customWidth="1" min="7" max="7"/>
    <col width="40" customWidth="1" min="8" max="8"/>
    <col width="18" customWidth="1" min="9" max="9"/>
  </cols>
  <sheetData>
    <row r="1" ht="22" customHeight="1">
      <c r="A1" s="1" t="inlineStr">
        <is>
          <t>AI-#</t>
        </is>
      </c>
      <c r="B1" s="1" t="inlineStr">
        <is>
          <t>Meeting Source</t>
        </is>
      </c>
      <c r="C1" s="1" t="inlineStr">
        <is>
          <t>Description</t>
        </is>
      </c>
      <c r="D1" s="1" t="inlineStr">
        <is>
          <t>Owner</t>
        </is>
      </c>
      <c r="E1" s="1" t="inlineStr">
        <is>
          <t>Due Date</t>
        </is>
      </c>
      <c r="F1" s="1" t="inlineStr">
        <is>
          <t>Status</t>
        </is>
      </c>
      <c r="G1" s="1" t="inlineStr">
        <is>
          <t>Priority</t>
        </is>
      </c>
      <c r="H1" s="1" t="inlineStr">
        <is>
          <t>Notes</t>
        </is>
      </c>
      <c r="I1" s="1" t="inlineStr">
        <is>
          <t>Days Since Assigned</t>
        </is>
      </c>
    </row>
    <row r="2" ht="28" customHeight="1">
      <c r="A2" s="2" t="inlineStr">
        <is>
          <t>AI-001</t>
        </is>
      </c>
      <c r="B2" s="2" t="inlineStr">
        <is>
          <t>OAC</t>
        </is>
      </c>
      <c r="C2" s="2" t="inlineStr">
        <is>
          <t>Submit revised foundation drawings to structural engineer for review</t>
        </is>
      </c>
      <c r="D2" s="2" t="inlineStr">
        <is>
          <t>David Chen</t>
        </is>
      </c>
      <c r="E2" s="3" t="n">
        <v>46188</v>
      </c>
      <c r="F2" s="2" t="inlineStr">
        <is>
          <t>In Progress</t>
        </is>
      </c>
      <c r="G2" s="2" t="inlineStr">
        <is>
          <t>High</t>
        </is>
      </c>
      <c r="H2" s="2" t="inlineStr">
        <is>
          <t>Awaiting feedback from engineer; follow up Thursday</t>
        </is>
      </c>
      <c r="I2" s="4">
        <f>IF(E2="","",TODAY()-E2)</f>
        <v/>
      </c>
    </row>
    <row r="3" ht="28" customHeight="1">
      <c r="A3" s="5" t="inlineStr">
        <is>
          <t>AI-002</t>
        </is>
      </c>
      <c r="B3" s="5" t="inlineStr">
        <is>
          <t>Owner Mtg</t>
        </is>
      </c>
      <c r="C3" s="5" t="inlineStr">
        <is>
          <t>Obtain city building permit revision for south elevation change order</t>
        </is>
      </c>
      <c r="D3" s="5" t="inlineStr">
        <is>
          <t>Maria Santos</t>
        </is>
      </c>
      <c r="E3" s="6" t="n">
        <v>46198</v>
      </c>
      <c r="F3" s="5" t="inlineStr">
        <is>
          <t>Open</t>
        </is>
      </c>
      <c r="G3" s="5" t="inlineStr">
        <is>
          <t>Critical</t>
        </is>
      </c>
      <c r="H3" s="5" t="inlineStr">
        <is>
          <t>Permit fees approved; application ready to submit</t>
        </is>
      </c>
      <c r="I3" s="7">
        <f>IF(E3="","",TODAY()-E3)</f>
        <v/>
      </c>
    </row>
    <row r="4" ht="28" customHeight="1">
      <c r="A4" s="2" t="inlineStr">
        <is>
          <t>AI-003</t>
        </is>
      </c>
      <c r="B4" s="2" t="inlineStr">
        <is>
          <t>Field Walk</t>
        </is>
      </c>
      <c r="C4" s="2" t="inlineStr">
        <is>
          <t>Resolve water intrusion at SW corner of basement — waterproofing detail missing</t>
        </is>
      </c>
      <c r="D4" s="2" t="inlineStr">
        <is>
          <t>Tom Bradley</t>
        </is>
      </c>
      <c r="E4" s="3" t="n">
        <v>46178</v>
      </c>
      <c r="F4" s="2" t="inlineStr">
        <is>
          <t>Overdue</t>
        </is>
      </c>
      <c r="G4" s="2" t="inlineStr">
        <is>
          <t>Critical</t>
        </is>
      </c>
      <c r="H4" s="2" t="inlineStr">
        <is>
          <t>Subcontractor to provide repair quote by EOD</t>
        </is>
      </c>
      <c r="I4" s="4">
        <f>IF(E4="","",TODAY()-E4)</f>
        <v/>
      </c>
    </row>
    <row r="5" ht="28" customHeight="1">
      <c r="A5" s="5" t="inlineStr">
        <is>
          <t>AI-004</t>
        </is>
      </c>
      <c r="B5" s="5" t="inlineStr">
        <is>
          <t>Design Review</t>
        </is>
      </c>
      <c r="C5" s="5" t="inlineStr">
        <is>
          <t>Update MEP coordination drawings to reflect relocated ductwork in riser B</t>
        </is>
      </c>
      <c r="D5" s="5" t="inlineStr">
        <is>
          <t>Lisa Nguyen</t>
        </is>
      </c>
      <c r="E5" s="6" t="n">
        <v>46204</v>
      </c>
      <c r="F5" s="5" t="inlineStr">
        <is>
          <t>Open</t>
        </is>
      </c>
      <c r="G5" s="5" t="inlineStr">
        <is>
          <t>Medium</t>
        </is>
      </c>
      <c r="H5" s="5" t="inlineStr">
        <is>
          <t>Structural clash identified; BIM coordination in progress</t>
        </is>
      </c>
      <c r="I5" s="7">
        <f>IF(E5="","",TODAY()-E5)</f>
        <v/>
      </c>
    </row>
    <row r="6" ht="28" customHeight="1">
      <c r="A6" s="2" t="inlineStr">
        <is>
          <t>AI-005</t>
        </is>
      </c>
      <c r="B6" s="2" t="inlineStr">
        <is>
          <t>Subcontractor Mtg</t>
        </is>
      </c>
      <c r="C6" s="2" t="inlineStr">
        <is>
          <t>Confirm steel delivery schedule for structural frame — verify mill lead times</t>
        </is>
      </c>
      <c r="D6" s="2" t="inlineStr">
        <is>
          <t>Kevin O'Brien</t>
        </is>
      </c>
      <c r="E6" s="3" t="n">
        <v>46183</v>
      </c>
      <c r="F6" s="2" t="inlineStr">
        <is>
          <t>Completed</t>
        </is>
      </c>
      <c r="G6" s="2" t="inlineStr">
        <is>
          <t>High</t>
        </is>
      </c>
      <c r="H6" s="2" t="inlineStr">
        <is>
          <t>Delivery confirmed for June 12; updated schedule distributed</t>
        </is>
      </c>
      <c r="I6" s="4">
        <f>IF(E6="","",TODAY()-E6)</f>
        <v/>
      </c>
    </row>
    <row r="7" ht="28" customHeight="1">
      <c r="A7" s="5" t="inlineStr">
        <is>
          <t>AI-006</t>
        </is>
      </c>
      <c r="B7" s="5" t="inlineStr">
        <is>
          <t>Internal</t>
        </is>
      </c>
      <c r="C7" s="5" t="inlineStr">
        <is>
          <t>Approve glazing mock-up panel and sign off for production</t>
        </is>
      </c>
      <c r="D7" s="5" t="inlineStr">
        <is>
          <t>Emily Park</t>
        </is>
      </c>
      <c r="E7" s="6" t="n">
        <v>46176</v>
      </c>
      <c r="F7" s="5" t="inlineStr">
        <is>
          <t>In Progress</t>
        </is>
      </c>
      <c r="G7" s="5" t="inlineStr">
        <is>
          <t>High</t>
        </is>
      </c>
      <c r="H7" s="5" t="inlineStr">
        <is>
          <t>Coordinating with design team</t>
        </is>
      </c>
      <c r="I7" s="7">
        <f>IF(E7="","",TODAY()-E7)</f>
        <v/>
      </c>
    </row>
    <row r="8" ht="28" customHeight="1">
      <c r="A8" s="2" t="inlineStr">
        <is>
          <t>AI-007</t>
        </is>
      </c>
      <c r="B8" s="2" t="inlineStr">
        <is>
          <t>Field Walk</t>
        </is>
      </c>
      <c r="C8" s="2" t="inlineStr">
        <is>
          <t>Coordinate glazing installation schedule with owner</t>
        </is>
      </c>
      <c r="D8" s="2" t="inlineStr">
        <is>
          <t>Maria Santos</t>
        </is>
      </c>
      <c r="E8" s="3" t="n">
        <v>46179</v>
      </c>
      <c r="F8" s="2" t="inlineStr">
        <is>
          <t>Completed</t>
        </is>
      </c>
      <c r="G8" s="2" t="inlineStr">
        <is>
          <t>High</t>
        </is>
      </c>
      <c r="H8" s="2" t="inlineStr">
        <is>
          <t>Needs follow-up this week</t>
        </is>
      </c>
      <c r="I8" s="4">
        <f>IF(E8="","",TODAY()-E8)</f>
        <v/>
      </c>
    </row>
    <row r="9" ht="28" customHeight="1">
      <c r="A9" s="5" t="inlineStr">
        <is>
          <t>AI-008</t>
        </is>
      </c>
      <c r="B9" s="5" t="inlineStr">
        <is>
          <t>Owner Mtg</t>
        </is>
      </c>
      <c r="C9" s="5" t="inlineStr">
        <is>
          <t>Prepare HVAC change order documentation for engineer approval</t>
        </is>
      </c>
      <c r="D9" s="5" t="inlineStr">
        <is>
          <t>Emily Park</t>
        </is>
      </c>
      <c r="E9" s="6" t="n">
        <v>46126</v>
      </c>
      <c r="F9" s="5" t="inlineStr">
        <is>
          <t>Deferred</t>
        </is>
      </c>
      <c r="G9" s="5" t="inlineStr">
        <is>
          <t>Medium</t>
        </is>
      </c>
      <c r="H9" s="5" t="inlineStr">
        <is>
          <t>In progress - awaiting update</t>
        </is>
      </c>
      <c r="I9" s="7">
        <f>IF(E9="","",TODAY()-E9)</f>
        <v/>
      </c>
    </row>
    <row r="10" ht="28" customHeight="1">
      <c r="A10" s="2" t="inlineStr">
        <is>
          <t>AI-009</t>
        </is>
      </c>
      <c r="B10" s="2" t="inlineStr">
        <is>
          <t>Design Review</t>
        </is>
      </c>
      <c r="C10" s="2" t="inlineStr">
        <is>
          <t>Conduct plumbing pre-installation meeting with consultant team</t>
        </is>
      </c>
      <c r="D10" s="2" t="inlineStr">
        <is>
          <t>Carlos Rivera</t>
        </is>
      </c>
      <c r="E10" s="3" t="n">
        <v>46129</v>
      </c>
      <c r="F10" s="2" t="inlineStr">
        <is>
          <t>Open</t>
        </is>
      </c>
      <c r="G10" s="2" t="inlineStr">
        <is>
          <t>Critical</t>
        </is>
      </c>
      <c r="H10" s="2" t="inlineStr">
        <is>
          <t>Waiting on external vendor</t>
        </is>
      </c>
      <c r="I10" s="4">
        <f>IF(E10="","",TODAY()-E10)</f>
        <v/>
      </c>
    </row>
    <row r="11" ht="28" customHeight="1">
      <c r="A11" s="5" t="inlineStr">
        <is>
          <t>AI-010</t>
        </is>
      </c>
      <c r="B11" s="5" t="inlineStr">
        <is>
          <t>OAC</t>
        </is>
      </c>
      <c r="C11" s="5" t="inlineStr">
        <is>
          <t>Coordinate architectural installation schedule with city building dept</t>
        </is>
      </c>
      <c r="D11" s="5" t="inlineStr">
        <is>
          <t>Kevin O'Brien</t>
        </is>
      </c>
      <c r="E11" s="6" t="n">
        <v>46130</v>
      </c>
      <c r="F11" s="5" t="inlineStr">
        <is>
          <t>Overdue</t>
        </is>
      </c>
      <c r="G11" s="5" t="inlineStr">
        <is>
          <t>Low</t>
        </is>
      </c>
      <c r="H11" s="5" t="inlineStr">
        <is>
          <t>Needs follow-up this week</t>
        </is>
      </c>
      <c r="I11" s="7">
        <f>IF(E11="","",TODAY()-E11)</f>
        <v/>
      </c>
    </row>
    <row r="12" ht="28" customHeight="1">
      <c r="A12" s="2" t="inlineStr">
        <is>
          <t>AI-011</t>
        </is>
      </c>
      <c r="B12" s="2" t="inlineStr">
        <is>
          <t>Design Review</t>
        </is>
      </c>
      <c r="C12" s="2" t="inlineStr">
        <is>
          <t>Verify architectural shop drawings against contract specifications</t>
        </is>
      </c>
      <c r="D12" s="2" t="inlineStr">
        <is>
          <t>Sarah Miller</t>
        </is>
      </c>
      <c r="E12" s="3" t="n">
        <v>46151</v>
      </c>
      <c r="F12" s="2" t="inlineStr">
        <is>
          <t>In Progress</t>
        </is>
      </c>
      <c r="G12" s="2" t="inlineStr">
        <is>
          <t>Low</t>
        </is>
      </c>
      <c r="H12" s="2" t="inlineStr">
        <is>
          <t>Waiting on external vendor</t>
        </is>
      </c>
      <c r="I12" s="4">
        <f>IF(E12="","",TODAY()-E12)</f>
        <v/>
      </c>
    </row>
    <row r="13" ht="28" customHeight="1">
      <c r="A13" s="5" t="inlineStr">
        <is>
          <t>AI-012</t>
        </is>
      </c>
      <c r="B13" s="5" t="inlineStr">
        <is>
          <t>Field Walk</t>
        </is>
      </c>
      <c r="C13" s="5" t="inlineStr">
        <is>
          <t>Approve civil mock-up panel and sign off for production</t>
        </is>
      </c>
      <c r="D13" s="5" t="inlineStr">
        <is>
          <t>Jake Thompson</t>
        </is>
      </c>
      <c r="E13" s="6" t="n">
        <v>46130</v>
      </c>
      <c r="F13" s="5" t="inlineStr">
        <is>
          <t>Open</t>
        </is>
      </c>
      <c r="G13" s="5" t="inlineStr">
        <is>
          <t>High</t>
        </is>
      </c>
      <c r="H13" s="5" t="inlineStr">
        <is>
          <t>In progress - awaiting update</t>
        </is>
      </c>
      <c r="I13" s="7">
        <f>IF(E13="","",TODAY()-E13)</f>
        <v/>
      </c>
    </row>
    <row r="14" ht="28" customHeight="1">
      <c r="A14" s="2" t="inlineStr">
        <is>
          <t>AI-013</t>
        </is>
      </c>
      <c r="B14" s="2" t="inlineStr">
        <is>
          <t>Owner Mtg</t>
        </is>
      </c>
      <c r="C14" s="2" t="inlineStr">
        <is>
          <t>Review steel subcontractor proposal and negotiate terms</t>
        </is>
      </c>
      <c r="D14" s="2" t="inlineStr">
        <is>
          <t>Sarah Miller</t>
        </is>
      </c>
      <c r="E14" s="3" t="n">
        <v>46177</v>
      </c>
      <c r="F14" s="2" t="inlineStr">
        <is>
          <t>Deferred</t>
        </is>
      </c>
      <c r="G14" s="2" t="inlineStr">
        <is>
          <t>High</t>
        </is>
      </c>
      <c r="H14" s="2" t="inlineStr">
        <is>
          <t>Needs follow-up this week</t>
        </is>
      </c>
      <c r="I14" s="4">
        <f>IF(E14="","",TODAY()-E14)</f>
        <v/>
      </c>
    </row>
    <row r="15" ht="28" customHeight="1">
      <c r="A15" s="5" t="inlineStr">
        <is>
          <t>AI-014</t>
        </is>
      </c>
      <c r="B15" s="5" t="inlineStr">
        <is>
          <t>Subcontractor Mtg</t>
        </is>
      </c>
      <c r="C15" s="5" t="inlineStr">
        <is>
          <t>Schedule plumbing inspection with city building department</t>
        </is>
      </c>
      <c r="D15" s="5" t="inlineStr">
        <is>
          <t>Emily Park</t>
        </is>
      </c>
      <c r="E15" s="6" t="n">
        <v>46159</v>
      </c>
      <c r="F15" s="5" t="inlineStr">
        <is>
          <t>In Progress</t>
        </is>
      </c>
      <c r="G15" s="5" t="inlineStr">
        <is>
          <t>High</t>
        </is>
      </c>
      <c r="H15" s="5" t="inlineStr">
        <is>
          <t>Needs follow-up this week</t>
        </is>
      </c>
      <c r="I15" s="7">
        <f>IF(E15="","",TODAY()-E15)</f>
        <v/>
      </c>
    </row>
    <row r="16" ht="28" customHeight="1">
      <c r="A16" s="2" t="inlineStr">
        <is>
          <t>AI-015</t>
        </is>
      </c>
      <c r="B16" s="2" t="inlineStr">
        <is>
          <t>Internal</t>
        </is>
      </c>
      <c r="C16" s="2" t="inlineStr">
        <is>
          <t>Expedite MEP material submittal for architect approval</t>
        </is>
      </c>
      <c r="D16" s="2" t="inlineStr">
        <is>
          <t>Kevin O'Brien</t>
        </is>
      </c>
      <c r="E16" s="3" t="n">
        <v>46176</v>
      </c>
      <c r="F16" s="2" t="inlineStr">
        <is>
          <t>Deferred</t>
        </is>
      </c>
      <c r="G16" s="2" t="inlineStr">
        <is>
          <t>Medium</t>
        </is>
      </c>
      <c r="H16" s="2" t="inlineStr">
        <is>
          <t>Escalate if not resolved by Friday</t>
        </is>
      </c>
      <c r="I16" s="4">
        <f>IF(E16="","",TODAY()-E16)</f>
        <v/>
      </c>
    </row>
    <row r="17" ht="28" customHeight="1">
      <c r="A17" s="5" t="inlineStr">
        <is>
          <t>AI-016</t>
        </is>
      </c>
      <c r="B17" s="5" t="inlineStr">
        <is>
          <t>OAC</t>
        </is>
      </c>
      <c r="C17" s="5" t="inlineStr">
        <is>
          <t>Resolve plumbing RFI submitted by city building dept</t>
        </is>
      </c>
      <c r="D17" s="5" t="inlineStr">
        <is>
          <t>Emily Park</t>
        </is>
      </c>
      <c r="E17" s="6" t="n">
        <v>46127</v>
      </c>
      <c r="F17" s="5" t="inlineStr">
        <is>
          <t>Deferred</t>
        </is>
      </c>
      <c r="G17" s="5" t="inlineStr">
        <is>
          <t>High</t>
        </is>
      </c>
      <c r="H17" s="5" t="inlineStr">
        <is>
          <t>Waiting on external vendor</t>
        </is>
      </c>
      <c r="I17" s="7">
        <f>IF(E17="","",TODAY()-E17)</f>
        <v/>
      </c>
    </row>
    <row r="18" ht="28" customHeight="1">
      <c r="A18" s="2" t="inlineStr">
        <is>
          <t>AI-017</t>
        </is>
      </c>
      <c r="B18" s="2" t="inlineStr">
        <is>
          <t>Field Walk</t>
        </is>
      </c>
      <c r="C18" s="2" t="inlineStr">
        <is>
          <t>Update site submittal log and track outstanding items</t>
        </is>
      </c>
      <c r="D18" s="2" t="inlineStr">
        <is>
          <t>Jake Thompson</t>
        </is>
      </c>
      <c r="E18" s="3" t="n">
        <v>46135</v>
      </c>
      <c r="F18" s="2" t="inlineStr">
        <is>
          <t>Deferred</t>
        </is>
      </c>
      <c r="G18" s="2" t="inlineStr">
        <is>
          <t>Medium</t>
        </is>
      </c>
      <c r="H18" s="2" t="inlineStr">
        <is>
          <t>Budget impact under review</t>
        </is>
      </c>
      <c r="I18" s="4">
        <f>IF(E18="","",TODAY()-E18)</f>
        <v/>
      </c>
    </row>
    <row r="19" ht="28" customHeight="1">
      <c r="A19" s="5" t="inlineStr">
        <is>
          <t>AI-018</t>
        </is>
      </c>
      <c r="B19" s="5" t="inlineStr">
        <is>
          <t>Owner Mtg</t>
        </is>
      </c>
      <c r="C19" s="5" t="inlineStr">
        <is>
          <t>Coordinate MEP installation schedule with city building dept</t>
        </is>
      </c>
      <c r="D19" s="5" t="inlineStr">
        <is>
          <t>Lisa Nguyen</t>
        </is>
      </c>
      <c r="E19" s="6" t="n">
        <v>46131</v>
      </c>
      <c r="F19" s="5" t="inlineStr">
        <is>
          <t>In Progress</t>
        </is>
      </c>
      <c r="G19" s="5" t="inlineStr">
        <is>
          <t>Low</t>
        </is>
      </c>
      <c r="H19" s="5" t="inlineStr">
        <is>
          <t>On track for deadline</t>
        </is>
      </c>
      <c r="I19" s="7">
        <f>IF(E19="","",TODAY()-E19)</f>
        <v/>
      </c>
    </row>
    <row r="20" ht="28" customHeight="1">
      <c r="A20" s="2" t="inlineStr">
        <is>
          <t>AI-019</t>
        </is>
      </c>
      <c r="B20" s="2" t="inlineStr">
        <is>
          <t>Internal</t>
        </is>
      </c>
      <c r="C20" s="2" t="inlineStr">
        <is>
          <t>Review millwork subcontractor proposal and negotiate terms</t>
        </is>
      </c>
      <c r="D20" s="2" t="inlineStr">
        <is>
          <t>Lisa Nguyen</t>
        </is>
      </c>
      <c r="E20" s="3" t="n">
        <v>46138</v>
      </c>
      <c r="F20" s="2" t="inlineStr">
        <is>
          <t>Deferred</t>
        </is>
      </c>
      <c r="G20" s="2" t="inlineStr">
        <is>
          <t>Low</t>
        </is>
      </c>
      <c r="H20" s="2" t="inlineStr">
        <is>
          <t>Coordinating with design team</t>
        </is>
      </c>
      <c r="I20" s="4">
        <f>IF(E20="","",TODAY()-E20)</f>
        <v/>
      </c>
    </row>
    <row r="21" ht="28" customHeight="1">
      <c r="A21" s="5" t="inlineStr">
        <is>
          <t>AI-020</t>
        </is>
      </c>
      <c r="B21" s="5" t="inlineStr">
        <is>
          <t>OAC</t>
        </is>
      </c>
      <c r="C21" s="5" t="inlineStr">
        <is>
          <t>Review MEP subcontractor proposal and negotiate terms</t>
        </is>
      </c>
      <c r="D21" s="5" t="inlineStr">
        <is>
          <t>David Chen</t>
        </is>
      </c>
      <c r="E21" s="6" t="n">
        <v>46171</v>
      </c>
      <c r="F21" s="5" t="inlineStr">
        <is>
          <t>In Progress</t>
        </is>
      </c>
      <c r="G21" s="5" t="inlineStr">
        <is>
          <t>Medium</t>
        </is>
      </c>
      <c r="H21" s="5" t="inlineStr">
        <is>
          <t>Budget impact under review</t>
        </is>
      </c>
      <c r="I21" s="7">
        <f>IF(E21="","",TODAY()-E21)</f>
        <v/>
      </c>
    </row>
    <row r="22" ht="28" customHeight="1">
      <c r="A22" s="2" t="inlineStr">
        <is>
          <t>AI-021</t>
        </is>
      </c>
      <c r="B22" s="2" t="inlineStr">
        <is>
          <t>Subcontractor Mtg</t>
        </is>
      </c>
      <c r="C22" s="2" t="inlineStr">
        <is>
          <t>Deliver fire protection O&amp;M manuals and training documentation</t>
        </is>
      </c>
      <c r="D22" s="2" t="inlineStr">
        <is>
          <t>Jake Thompson</t>
        </is>
      </c>
      <c r="E22" s="3" t="n">
        <v>46163</v>
      </c>
      <c r="F22" s="2" t="inlineStr">
        <is>
          <t>Open</t>
        </is>
      </c>
      <c r="G22" s="2" t="inlineStr">
        <is>
          <t>Critical</t>
        </is>
      </c>
      <c r="H22" s="2" t="inlineStr">
        <is>
          <t>Needs follow-up this week</t>
        </is>
      </c>
      <c r="I22" s="4">
        <f>IF(E22="","",TODAY()-E22)</f>
        <v/>
      </c>
    </row>
    <row r="23" ht="28" customHeight="1">
      <c r="A23" s="5" t="inlineStr">
        <is>
          <t>AI-022</t>
        </is>
      </c>
      <c r="B23" s="5" t="inlineStr">
        <is>
          <t>Field Walk</t>
        </is>
      </c>
      <c r="C23" s="5" t="inlineStr">
        <is>
          <t>Distribute electrical meeting minutes and track action items</t>
        </is>
      </c>
      <c r="D23" s="5" t="inlineStr">
        <is>
          <t>Jake Thompson</t>
        </is>
      </c>
      <c r="E23" s="6" t="n">
        <v>46150</v>
      </c>
      <c r="F23" s="5" t="inlineStr">
        <is>
          <t>Open</t>
        </is>
      </c>
      <c r="G23" s="5" t="inlineStr">
        <is>
          <t>Low</t>
        </is>
      </c>
      <c r="H23" s="5" t="inlineStr">
        <is>
          <t>Needs follow-up this week</t>
        </is>
      </c>
      <c r="I23" s="7">
        <f>IF(E23="","",TODAY()-E23)</f>
        <v/>
      </c>
    </row>
    <row r="24" ht="28" customHeight="1">
      <c r="A24" s="2" t="inlineStr">
        <is>
          <t>AI-023</t>
        </is>
      </c>
      <c r="B24" s="2" t="inlineStr">
        <is>
          <t>Design Review</t>
        </is>
      </c>
      <c r="C24" s="2" t="inlineStr">
        <is>
          <t>Approve steel mock-up panel and sign off for production</t>
        </is>
      </c>
      <c r="D24" s="2" t="inlineStr">
        <is>
          <t>Rachel Kim</t>
        </is>
      </c>
      <c r="E24" s="3" t="n">
        <v>46174</v>
      </c>
      <c r="F24" s="2" t="inlineStr">
        <is>
          <t>Overdue</t>
        </is>
      </c>
      <c r="G24" s="2" t="inlineStr">
        <is>
          <t>Low</t>
        </is>
      </c>
      <c r="H24" s="2" t="inlineStr">
        <is>
          <t>Escalate if not resolved by Friday</t>
        </is>
      </c>
      <c r="I24" s="4">
        <f>IF(E24="","",TODAY()-E24)</f>
        <v/>
      </c>
    </row>
    <row r="25" ht="28" customHeight="1">
      <c r="A25" s="5" t="inlineStr">
        <is>
          <t>AI-024</t>
        </is>
      </c>
      <c r="B25" s="5" t="inlineStr">
        <is>
          <t>Subcontractor Mtg</t>
        </is>
      </c>
      <c r="C25" s="5" t="inlineStr">
        <is>
          <t>Deliver architectural O&amp;M manuals and training documentation</t>
        </is>
      </c>
      <c r="D25" s="5" t="inlineStr">
        <is>
          <t>Jake Thompson</t>
        </is>
      </c>
      <c r="E25" s="6" t="n">
        <v>46157</v>
      </c>
      <c r="F25" s="5" t="inlineStr">
        <is>
          <t>Deferred</t>
        </is>
      </c>
      <c r="G25" s="5" t="inlineStr">
        <is>
          <t>Low</t>
        </is>
      </c>
      <c r="H25" s="5" t="inlineStr"/>
      <c r="I25" s="7">
        <f>IF(E25="","",TODAY()-E25)</f>
        <v/>
      </c>
    </row>
    <row r="26" ht="28" customHeight="1">
      <c r="A26" s="2" t="inlineStr">
        <is>
          <t>AI-025</t>
        </is>
      </c>
      <c r="B26" s="2" t="inlineStr">
        <is>
          <t>Owner Mtg</t>
        </is>
      </c>
      <c r="C26" s="2" t="inlineStr">
        <is>
          <t>Expedite fire protection material submittal for owner approval</t>
        </is>
      </c>
      <c r="D26" s="2" t="inlineStr">
        <is>
          <t>Emily Park</t>
        </is>
      </c>
      <c r="E26" s="3" t="n">
        <v>46157</v>
      </c>
      <c r="F26" s="2" t="inlineStr">
        <is>
          <t>Deferred</t>
        </is>
      </c>
      <c r="G26" s="2" t="inlineStr">
        <is>
          <t>Medium</t>
        </is>
      </c>
      <c r="H26" s="2" t="inlineStr">
        <is>
          <t>In progress - awaiting update</t>
        </is>
      </c>
      <c r="I26" s="4">
        <f>IF(E26="","",TODAY()-E26)</f>
        <v/>
      </c>
    </row>
    <row r="27" ht="28" customHeight="1">
      <c r="A27" s="5" t="inlineStr">
        <is>
          <t>AI-026</t>
        </is>
      </c>
      <c r="B27" s="5" t="inlineStr">
        <is>
          <t>Subcontractor Mtg</t>
        </is>
      </c>
      <c r="C27" s="5" t="inlineStr">
        <is>
          <t>Confirm steel equipment lead times and update procurement</t>
        </is>
      </c>
      <c r="D27" s="5" t="inlineStr">
        <is>
          <t>Emily Park</t>
        </is>
      </c>
      <c r="E27" s="6" t="n">
        <v>46148</v>
      </c>
      <c r="F27" s="5" t="inlineStr">
        <is>
          <t>In Progress</t>
        </is>
      </c>
      <c r="G27" s="5" t="inlineStr">
        <is>
          <t>High</t>
        </is>
      </c>
      <c r="H27" s="5" t="inlineStr">
        <is>
          <t>Subcontractor to provide ETA</t>
        </is>
      </c>
      <c r="I27" s="7">
        <f>IF(E27="","",TODAY()-E27)</f>
        <v/>
      </c>
    </row>
    <row r="28" ht="28" customHeight="1">
      <c r="A28" s="2" t="inlineStr">
        <is>
          <t>AI-027</t>
        </is>
      </c>
      <c r="B28" s="2" t="inlineStr">
        <is>
          <t>Field Walk</t>
        </is>
      </c>
      <c r="C28" s="2" t="inlineStr">
        <is>
          <t>Verify plumbing shop drawings against contract specifications</t>
        </is>
      </c>
      <c r="D28" s="2" t="inlineStr">
        <is>
          <t>David Chen</t>
        </is>
      </c>
      <c r="E28" s="3" t="n">
        <v>46134</v>
      </c>
      <c r="F28" s="2" t="inlineStr">
        <is>
          <t>In Progress</t>
        </is>
      </c>
      <c r="G28" s="2" t="inlineStr">
        <is>
          <t>High</t>
        </is>
      </c>
      <c r="H28" s="2" t="inlineStr">
        <is>
          <t>Escalate if not resolved by Friday</t>
        </is>
      </c>
      <c r="I28" s="4">
        <f>IF(E28="","",TODAY()-E28)</f>
        <v/>
      </c>
    </row>
    <row r="29" ht="28" customHeight="1">
      <c r="A29" s="5" t="inlineStr">
        <is>
          <t>AI-028</t>
        </is>
      </c>
      <c r="B29" s="5" t="inlineStr">
        <is>
          <t>OAC</t>
        </is>
      </c>
      <c r="C29" s="5" t="inlineStr">
        <is>
          <t>Submit revised curtain wall drawings for architect review</t>
        </is>
      </c>
      <c r="D29" s="5" t="inlineStr">
        <is>
          <t>Kevin O'Brien</t>
        </is>
      </c>
      <c r="E29" s="6" t="n">
        <v>46139</v>
      </c>
      <c r="F29" s="5" t="inlineStr">
        <is>
          <t>In Progress</t>
        </is>
      </c>
      <c r="G29" s="5" t="inlineStr">
        <is>
          <t>Medium</t>
        </is>
      </c>
      <c r="H29" s="5" t="inlineStr">
        <is>
          <t>Documentation filed pending review</t>
        </is>
      </c>
      <c r="I29" s="7">
        <f>IF(E29="","",TODAY()-E29)</f>
        <v/>
      </c>
    </row>
    <row r="30" ht="28" customHeight="1">
      <c r="A30" s="2" t="inlineStr">
        <is>
          <t>AI-029</t>
        </is>
      </c>
      <c r="B30" s="2" t="inlineStr">
        <is>
          <t>Design Review</t>
        </is>
      </c>
      <c r="C30" s="2" t="inlineStr">
        <is>
          <t>Submit revised electrical drawings for architect review</t>
        </is>
      </c>
      <c r="D30" s="2" t="inlineStr">
        <is>
          <t>Rachel Kim</t>
        </is>
      </c>
      <c r="E30" s="3" t="n">
        <v>46135</v>
      </c>
      <c r="F30" s="2" t="inlineStr">
        <is>
          <t>Open</t>
        </is>
      </c>
      <c r="G30" s="2" t="inlineStr">
        <is>
          <t>Critical</t>
        </is>
      </c>
      <c r="H30" s="2" t="inlineStr">
        <is>
          <t>On track for deadline</t>
        </is>
      </c>
      <c r="I30" s="4">
        <f>IF(E30="","",TODAY()-E30)</f>
        <v/>
      </c>
    </row>
    <row r="31" ht="28" customHeight="1">
      <c r="A31" s="5" t="inlineStr">
        <is>
          <t>AI-030</t>
        </is>
      </c>
      <c r="B31" s="5" t="inlineStr">
        <is>
          <t>Subcontractor Mtg</t>
        </is>
      </c>
      <c r="C31" s="5" t="inlineStr">
        <is>
          <t>Deliver curtain wall O&amp;M manuals and training documentation</t>
        </is>
      </c>
      <c r="D31" s="5" t="inlineStr">
        <is>
          <t>David Chen</t>
        </is>
      </c>
      <c r="E31" s="6" t="n">
        <v>46145</v>
      </c>
      <c r="F31" s="5" t="inlineStr">
        <is>
          <t>Deferred</t>
        </is>
      </c>
      <c r="G31" s="5" t="inlineStr">
        <is>
          <t>High</t>
        </is>
      </c>
      <c r="H31" s="5" t="inlineStr">
        <is>
          <t>Subcontractor to provide ETA</t>
        </is>
      </c>
      <c r="I31" s="7">
        <f>IF(E31="","",TODAY()-E31)</f>
        <v/>
      </c>
    </row>
    <row r="32" ht="28" customHeight="1">
      <c r="A32" s="2" t="inlineStr">
        <is>
          <t>AI-031</t>
        </is>
      </c>
      <c r="B32" s="2" t="inlineStr">
        <is>
          <t>Owner Mtg</t>
        </is>
      </c>
      <c r="C32" s="2" t="inlineStr">
        <is>
          <t>Coordinate roofing installation schedule with city building dept</t>
        </is>
      </c>
      <c r="D32" s="2" t="inlineStr">
        <is>
          <t>Kevin O'Brien</t>
        </is>
      </c>
      <c r="E32" s="3" t="n">
        <v>46138</v>
      </c>
      <c r="F32" s="2" t="inlineStr">
        <is>
          <t>Completed</t>
        </is>
      </c>
      <c r="G32" s="2" t="inlineStr">
        <is>
          <t>High</t>
        </is>
      </c>
      <c r="H32" s="2" t="inlineStr">
        <is>
          <t>Subcontractor to provide ETA</t>
        </is>
      </c>
      <c r="I32" s="4">
        <f>IF(E32="","",TODAY()-E32)</f>
        <v/>
      </c>
    </row>
    <row r="33" ht="28" customHeight="1">
      <c r="A33" s="5" t="inlineStr">
        <is>
          <t>AI-032</t>
        </is>
      </c>
      <c r="B33" s="5" t="inlineStr">
        <is>
          <t>Design Review</t>
        </is>
      </c>
      <c r="C33" s="5" t="inlineStr">
        <is>
          <t>Prepare HVAC change order documentation for subcontractor approval</t>
        </is>
      </c>
      <c r="D33" s="5" t="inlineStr">
        <is>
          <t>Sarah Miller</t>
        </is>
      </c>
      <c r="E33" s="6" t="n">
        <v>46128</v>
      </c>
      <c r="F33" s="5" t="inlineStr">
        <is>
          <t>Overdue</t>
        </is>
      </c>
      <c r="G33" s="5" t="inlineStr">
        <is>
          <t>Low</t>
        </is>
      </c>
      <c r="H33" s="5" t="inlineStr">
        <is>
          <t>In progress - awaiting update</t>
        </is>
      </c>
      <c r="I33" s="7">
        <f>IF(E33="","",TODAY()-E33)</f>
        <v/>
      </c>
    </row>
    <row r="34" ht="28" customHeight="1">
      <c r="A34" s="2" t="inlineStr">
        <is>
          <t>AI-033</t>
        </is>
      </c>
      <c r="B34" s="2" t="inlineStr">
        <is>
          <t>Internal</t>
        </is>
      </c>
      <c r="C34" s="2" t="inlineStr">
        <is>
          <t>Confirm fire protection equipment lead times and update procurement</t>
        </is>
      </c>
      <c r="D34" s="2" t="inlineStr">
        <is>
          <t>Jake Thompson</t>
        </is>
      </c>
      <c r="E34" s="3" t="n">
        <v>46171</v>
      </c>
      <c r="F34" s="2" t="inlineStr">
        <is>
          <t>In Progress</t>
        </is>
      </c>
      <c r="G34" s="2" t="inlineStr">
        <is>
          <t>High</t>
        </is>
      </c>
      <c r="H34" s="2" t="inlineStr">
        <is>
          <t>Coordinating with design team</t>
        </is>
      </c>
      <c r="I34" s="4">
        <f>IF(E34="","",TODAY()-E34)</f>
        <v/>
      </c>
    </row>
    <row r="35" ht="28" customHeight="1">
      <c r="A35" s="5" t="inlineStr">
        <is>
          <t>AI-034</t>
        </is>
      </c>
      <c r="B35" s="5" t="inlineStr">
        <is>
          <t>Owner Mtg</t>
        </is>
      </c>
      <c r="C35" s="5" t="inlineStr">
        <is>
          <t>Expedite concrete material submittal for city building dept approval</t>
        </is>
      </c>
      <c r="D35" s="5" t="inlineStr">
        <is>
          <t>Tom Bradley</t>
        </is>
      </c>
      <c r="E35" s="6" t="n">
        <v>46154</v>
      </c>
      <c r="F35" s="5" t="inlineStr">
        <is>
          <t>Open</t>
        </is>
      </c>
      <c r="G35" s="5" t="inlineStr">
        <is>
          <t>High</t>
        </is>
      </c>
      <c r="H35" s="5" t="inlineStr">
        <is>
          <t>Documentation filed pending review</t>
        </is>
      </c>
      <c r="I35" s="7">
        <f>IF(E35="","",TODAY()-E35)</f>
        <v/>
      </c>
    </row>
    <row r="36" ht="28" customHeight="1">
      <c r="A36" s="2" t="inlineStr">
        <is>
          <t>AI-035</t>
        </is>
      </c>
      <c r="B36" s="2" t="inlineStr">
        <is>
          <t>Internal</t>
        </is>
      </c>
      <c r="C36" s="2" t="inlineStr">
        <is>
          <t>Resolve fire protection RFI submitted by engineer</t>
        </is>
      </c>
      <c r="D36" s="2" t="inlineStr">
        <is>
          <t>David Chen</t>
        </is>
      </c>
      <c r="E36" s="3" t="n">
        <v>46142</v>
      </c>
      <c r="F36" s="2" t="inlineStr">
        <is>
          <t>Deferred</t>
        </is>
      </c>
      <c r="G36" s="2" t="inlineStr">
        <is>
          <t>Medium</t>
        </is>
      </c>
      <c r="H36" s="2" t="inlineStr">
        <is>
          <t>Needs follow-up this week</t>
        </is>
      </c>
      <c r="I36" s="4">
        <f>IF(E36="","",TODAY()-E36)</f>
        <v/>
      </c>
    </row>
    <row r="37" ht="28" customHeight="1">
      <c r="A37" s="5" t="inlineStr">
        <is>
          <t>AI-036</t>
        </is>
      </c>
      <c r="B37" s="5" t="inlineStr">
        <is>
          <t>Internal</t>
        </is>
      </c>
      <c r="C37" s="5" t="inlineStr">
        <is>
          <t>Deliver steel O&amp;M manuals and training documentation</t>
        </is>
      </c>
      <c r="D37" s="5" t="inlineStr">
        <is>
          <t>Tom Bradley</t>
        </is>
      </c>
      <c r="E37" s="6" t="n">
        <v>46133</v>
      </c>
      <c r="F37" s="5" t="inlineStr">
        <is>
          <t>Open</t>
        </is>
      </c>
      <c r="G37" s="5" t="inlineStr">
        <is>
          <t>High</t>
        </is>
      </c>
      <c r="H37" s="5" t="inlineStr">
        <is>
          <t>On track for deadline</t>
        </is>
      </c>
      <c r="I37" s="7">
        <f>IF(E37="","",TODAY()-E37)</f>
        <v/>
      </c>
    </row>
    <row r="38" ht="28" customHeight="1">
      <c r="A38" s="2" t="inlineStr">
        <is>
          <t>AI-037</t>
        </is>
      </c>
      <c r="B38" s="2" t="inlineStr">
        <is>
          <t>Field Walk</t>
        </is>
      </c>
      <c r="C38" s="2" t="inlineStr">
        <is>
          <t>Resolve millwork RFI submitted by consultant</t>
        </is>
      </c>
      <c r="D38" s="2" t="inlineStr">
        <is>
          <t>Sarah Miller</t>
        </is>
      </c>
      <c r="E38" s="3" t="n">
        <v>46177</v>
      </c>
      <c r="F38" s="2" t="inlineStr">
        <is>
          <t>Deferred</t>
        </is>
      </c>
      <c r="G38" s="2" t="inlineStr">
        <is>
          <t>Critical</t>
        </is>
      </c>
      <c r="H38" s="2" t="inlineStr"/>
      <c r="I38" s="4">
        <f>IF(E38="","",TODAY()-E38)</f>
        <v/>
      </c>
    </row>
    <row r="39" ht="28" customHeight="1">
      <c r="A39" s="5" t="inlineStr">
        <is>
          <t>AI-038</t>
        </is>
      </c>
      <c r="B39" s="5" t="inlineStr">
        <is>
          <t>Field Walk</t>
        </is>
      </c>
      <c r="C39" s="5" t="inlineStr">
        <is>
          <t>Distribute fire protection meeting minutes and track action items</t>
        </is>
      </c>
      <c r="D39" s="5" t="inlineStr">
        <is>
          <t>Sarah Miller</t>
        </is>
      </c>
      <c r="E39" s="6" t="n">
        <v>46171</v>
      </c>
      <c r="F39" s="5" t="inlineStr">
        <is>
          <t>Open</t>
        </is>
      </c>
      <c r="G39" s="5" t="inlineStr">
        <is>
          <t>Medium</t>
        </is>
      </c>
      <c r="H39" s="5" t="inlineStr">
        <is>
          <t>Documentation filed pending review</t>
        </is>
      </c>
      <c r="I39" s="7">
        <f>IF(E39="","",TODAY()-E39)</f>
        <v/>
      </c>
    </row>
    <row r="40" ht="28" customHeight="1">
      <c r="A40" s="2" t="inlineStr">
        <is>
          <t>AI-039</t>
        </is>
      </c>
      <c r="B40" s="2" t="inlineStr">
        <is>
          <t>Design Review</t>
        </is>
      </c>
      <c r="C40" s="2" t="inlineStr">
        <is>
          <t>Deliver structural O&amp;M manuals and training documentation</t>
        </is>
      </c>
      <c r="D40" s="2" t="inlineStr">
        <is>
          <t>Rachel Kim</t>
        </is>
      </c>
      <c r="E40" s="3" t="n">
        <v>46155</v>
      </c>
      <c r="F40" s="2" t="inlineStr">
        <is>
          <t>Overdue</t>
        </is>
      </c>
      <c r="G40" s="2" t="inlineStr">
        <is>
          <t>High</t>
        </is>
      </c>
      <c r="H40" s="2" t="inlineStr">
        <is>
          <t>Escalate if not resolved by Friday</t>
        </is>
      </c>
      <c r="I40" s="4">
        <f>IF(E40="","",TODAY()-E40)</f>
        <v/>
      </c>
    </row>
    <row r="41" ht="28" customHeight="1">
      <c r="A41" s="5" t="inlineStr">
        <is>
          <t>AI-040</t>
        </is>
      </c>
      <c r="B41" s="5" t="inlineStr">
        <is>
          <t>Design Review</t>
        </is>
      </c>
      <c r="C41" s="5" t="inlineStr">
        <is>
          <t>Coordinate glazing installation schedule with engineer</t>
        </is>
      </c>
      <c r="D41" s="5" t="inlineStr">
        <is>
          <t>Lisa Nguyen</t>
        </is>
      </c>
      <c r="E41" s="6" t="n">
        <v>46167</v>
      </c>
      <c r="F41" s="5" t="inlineStr">
        <is>
          <t>Deferred</t>
        </is>
      </c>
      <c r="G41" s="5" t="inlineStr">
        <is>
          <t>High</t>
        </is>
      </c>
      <c r="H41" s="5" t="inlineStr">
        <is>
          <t>Escalate if not resolved by Friday</t>
        </is>
      </c>
      <c r="I41" s="7">
        <f>IF(E41="","",TODAY()-E41)</f>
        <v/>
      </c>
    </row>
    <row r="42" ht="28" customHeight="1">
      <c r="A42" s="2" t="inlineStr">
        <is>
          <t>AI-041</t>
        </is>
      </c>
      <c r="B42" s="2" t="inlineStr">
        <is>
          <t>OAC</t>
        </is>
      </c>
      <c r="C42" s="2" t="inlineStr">
        <is>
          <t>Issue MEP notice to proceed for owner scope</t>
        </is>
      </c>
      <c r="D42" s="2" t="inlineStr">
        <is>
          <t>Carlos Rivera</t>
        </is>
      </c>
      <c r="E42" s="3" t="n">
        <v>46173</v>
      </c>
      <c r="F42" s="2" t="inlineStr">
        <is>
          <t>Open</t>
        </is>
      </c>
      <c r="G42" s="2" t="inlineStr">
        <is>
          <t>Critical</t>
        </is>
      </c>
      <c r="H42" s="2" t="inlineStr">
        <is>
          <t>Needs follow-up this week</t>
        </is>
      </c>
      <c r="I42" s="4">
        <f>IF(E42="","",TODAY()-E42)</f>
        <v/>
      </c>
    </row>
    <row r="43" ht="28" customHeight="1">
      <c r="A43" s="5" t="inlineStr">
        <is>
          <t>AI-042</t>
        </is>
      </c>
      <c r="B43" s="5" t="inlineStr">
        <is>
          <t>Internal</t>
        </is>
      </c>
      <c r="C43" s="5" t="inlineStr">
        <is>
          <t>Distribute roofing meeting minutes and track action items</t>
        </is>
      </c>
      <c r="D43" s="5" t="inlineStr">
        <is>
          <t>Maria Santos</t>
        </is>
      </c>
      <c r="E43" s="6" t="n">
        <v>46125</v>
      </c>
      <c r="F43" s="5" t="inlineStr">
        <is>
          <t>Completed</t>
        </is>
      </c>
      <c r="G43" s="5" t="inlineStr">
        <is>
          <t>Critical</t>
        </is>
      </c>
      <c r="H43" s="5" t="inlineStr">
        <is>
          <t>Coordinating with design team</t>
        </is>
      </c>
      <c r="I43" s="7">
        <f>IF(E43="","",TODAY()-E43)</f>
        <v/>
      </c>
    </row>
    <row r="44" ht="28" customHeight="1">
      <c r="A44" s="2" t="inlineStr">
        <is>
          <t>AI-043</t>
        </is>
      </c>
      <c r="B44" s="2" t="inlineStr">
        <is>
          <t>Owner Mtg</t>
        </is>
      </c>
      <c r="C44" s="2" t="inlineStr">
        <is>
          <t>Flag architectural concealed conditions discovered during architect</t>
        </is>
      </c>
      <c r="D44" s="2" t="inlineStr">
        <is>
          <t>David Chen</t>
        </is>
      </c>
      <c r="E44" s="3" t="n">
        <v>46168</v>
      </c>
      <c r="F44" s="2" t="inlineStr">
        <is>
          <t>Overdue</t>
        </is>
      </c>
      <c r="G44" s="2" t="inlineStr">
        <is>
          <t>Low</t>
        </is>
      </c>
      <c r="H44" s="2" t="inlineStr"/>
      <c r="I44" s="4">
        <f>IF(E44="","",TODAY()-E44)</f>
        <v/>
      </c>
    </row>
    <row r="45" ht="28" customHeight="1">
      <c r="A45" s="5" t="inlineStr">
        <is>
          <t>AI-044</t>
        </is>
      </c>
      <c r="B45" s="5" t="inlineStr">
        <is>
          <t>Internal</t>
        </is>
      </c>
      <c r="C45" s="5" t="inlineStr">
        <is>
          <t>Expedite architectural material submittal for engineer approval</t>
        </is>
      </c>
      <c r="D45" s="5" t="inlineStr">
        <is>
          <t>Emily Park</t>
        </is>
      </c>
      <c r="E45" s="6" t="n">
        <v>46142</v>
      </c>
      <c r="F45" s="5" t="inlineStr">
        <is>
          <t>Deferred</t>
        </is>
      </c>
      <c r="G45" s="5" t="inlineStr">
        <is>
          <t>High</t>
        </is>
      </c>
      <c r="H45" s="5" t="inlineStr">
        <is>
          <t>Budget impact under review</t>
        </is>
      </c>
      <c r="I45" s="7">
        <f>IF(E45="","",TODAY()-E45)</f>
        <v/>
      </c>
    </row>
    <row r="46" ht="28" customHeight="1">
      <c r="A46" s="2" t="inlineStr">
        <is>
          <t>AI-045</t>
        </is>
      </c>
      <c r="B46" s="2" t="inlineStr">
        <is>
          <t>Subcontractor Mtg</t>
        </is>
      </c>
      <c r="C46" s="2" t="inlineStr">
        <is>
          <t>Review architectural subcontractor proposal and negotiate terms</t>
        </is>
      </c>
      <c r="D46" s="2" t="inlineStr">
        <is>
          <t>Emily Park</t>
        </is>
      </c>
      <c r="E46" s="3" t="n">
        <v>46156</v>
      </c>
      <c r="F46" s="2" t="inlineStr">
        <is>
          <t>Completed</t>
        </is>
      </c>
      <c r="G46" s="2" t="inlineStr">
        <is>
          <t>High</t>
        </is>
      </c>
      <c r="H46" s="2" t="inlineStr">
        <is>
          <t>Needs follow-up this week</t>
        </is>
      </c>
      <c r="I46" s="4">
        <f>IF(E46="","",TODAY()-E46)</f>
        <v/>
      </c>
    </row>
    <row r="47" ht="28" customHeight="1">
      <c r="A47" s="5" t="inlineStr">
        <is>
          <t>AI-046</t>
        </is>
      </c>
      <c r="B47" s="5" t="inlineStr">
        <is>
          <t>Field Walk</t>
        </is>
      </c>
      <c r="C47" s="5" t="inlineStr">
        <is>
          <t>Prepare electrical change order documentation for GC approval</t>
        </is>
      </c>
      <c r="D47" s="5" t="inlineStr">
        <is>
          <t>Tom Bradley</t>
        </is>
      </c>
      <c r="E47" s="6" t="n">
        <v>46140</v>
      </c>
      <c r="F47" s="5" t="inlineStr">
        <is>
          <t>Completed</t>
        </is>
      </c>
      <c r="G47" s="5" t="inlineStr">
        <is>
          <t>Medium</t>
        </is>
      </c>
      <c r="H47" s="5" t="inlineStr">
        <is>
          <t>Documentation filed pending review</t>
        </is>
      </c>
      <c r="I47" s="7">
        <f>IF(E47="","",TODAY()-E47)</f>
        <v/>
      </c>
    </row>
    <row r="48" ht="28" customHeight="1">
      <c r="A48" s="2" t="inlineStr">
        <is>
          <t>AI-047</t>
        </is>
      </c>
      <c r="B48" s="2" t="inlineStr">
        <is>
          <t>Design Review</t>
        </is>
      </c>
      <c r="C48" s="2" t="inlineStr">
        <is>
          <t>Deliver electrical O&amp;M manuals and training documentation</t>
        </is>
      </c>
      <c r="D48" s="2" t="inlineStr">
        <is>
          <t>Maria Santos</t>
        </is>
      </c>
      <c r="E48" s="3" t="n">
        <v>46157</v>
      </c>
      <c r="F48" s="2" t="inlineStr">
        <is>
          <t>Overdue</t>
        </is>
      </c>
      <c r="G48" s="2" t="inlineStr">
        <is>
          <t>Medium</t>
        </is>
      </c>
      <c r="H48" s="2" t="inlineStr">
        <is>
          <t>Escalate if not resolved by Friday</t>
        </is>
      </c>
      <c r="I48" s="4">
        <f>IF(E48="","",TODAY()-E48)</f>
        <v/>
      </c>
    </row>
    <row r="49" ht="28" customHeight="1">
      <c r="A49" s="5" t="inlineStr">
        <is>
          <t>AI-048</t>
        </is>
      </c>
      <c r="B49" s="5" t="inlineStr">
        <is>
          <t>Design Review</t>
        </is>
      </c>
      <c r="C49" s="5" t="inlineStr">
        <is>
          <t>Approve roofing mock-up panel and sign off for production</t>
        </is>
      </c>
      <c r="D49" s="5" t="inlineStr">
        <is>
          <t>Maria Santos</t>
        </is>
      </c>
      <c r="E49" s="6" t="n">
        <v>46141</v>
      </c>
      <c r="F49" s="5" t="inlineStr">
        <is>
          <t>In Progress</t>
        </is>
      </c>
      <c r="G49" s="5" t="inlineStr">
        <is>
          <t>Medium</t>
        </is>
      </c>
      <c r="H49" s="5" t="inlineStr">
        <is>
          <t>Subcontractor to provide ETA</t>
        </is>
      </c>
      <c r="I49" s="7">
        <f>IF(E49="","",TODAY()-E49)</f>
        <v/>
      </c>
    </row>
    <row r="50" ht="28" customHeight="1">
      <c r="A50" s="2" t="inlineStr">
        <is>
          <t>AI-049</t>
        </is>
      </c>
      <c r="B50" s="2" t="inlineStr">
        <is>
          <t>OAC</t>
        </is>
      </c>
      <c r="C50" s="2" t="inlineStr">
        <is>
          <t>Verify fire protection layout on site before city building dept commences</t>
        </is>
      </c>
      <c r="D50" s="2" t="inlineStr">
        <is>
          <t>Jake Thompson</t>
        </is>
      </c>
      <c r="E50" s="3" t="n">
        <v>46161</v>
      </c>
      <c r="F50" s="2" t="inlineStr">
        <is>
          <t>Open</t>
        </is>
      </c>
      <c r="G50" s="2" t="inlineStr">
        <is>
          <t>Medium</t>
        </is>
      </c>
      <c r="H50" s="2" t="inlineStr"/>
      <c r="I50" s="4">
        <f>IF(E50="","",TODAY()-E50)</f>
        <v/>
      </c>
    </row>
    <row r="51" ht="28" customHeight="1">
      <c r="A51" s="5" t="inlineStr">
        <is>
          <t>AI-050</t>
        </is>
      </c>
      <c r="B51" s="5" t="inlineStr">
        <is>
          <t>Internal</t>
        </is>
      </c>
      <c r="C51" s="5" t="inlineStr">
        <is>
          <t>Resolve plumbing RFI submitted by subcontractor</t>
        </is>
      </c>
      <c r="D51" s="5" t="inlineStr">
        <is>
          <t>Lisa Nguyen</t>
        </is>
      </c>
      <c r="E51" s="6" t="n">
        <v>46125</v>
      </c>
      <c r="F51" s="5" t="inlineStr">
        <is>
          <t>Completed</t>
        </is>
      </c>
      <c r="G51" s="5" t="inlineStr">
        <is>
          <t>Medium</t>
        </is>
      </c>
      <c r="H51" s="5" t="inlineStr">
        <is>
          <t>Waiting on external vendor</t>
        </is>
      </c>
      <c r="I51" s="7">
        <f>IF(E51="","",TODAY()-E51)</f>
        <v/>
      </c>
    </row>
  </sheetData>
  <autoFilter ref="A1:I51"/>
  <conditionalFormatting sqref="F2:F51">
    <cfRule type="cellIs" priority="1" operator="equal" dxfId="0">
      <formula>"Completed"</formula>
    </cfRule>
    <cfRule type="cellIs" priority="2" operator="equal" dxfId="1">
      <formula>"Overdue"</formula>
    </cfRule>
    <cfRule type="cellIs" priority="3" operator="equal" dxfId="2">
      <formula>"Open"</formula>
    </cfRule>
  </conditionalFormatting>
  <dataValidations count="3">
    <dataValidation sqref="B2 B3 B4 B5 B6 B7 B8 B9 B10 B11 B12 B13 B14 B15 B16 B17 B18 B19 B20 B21 B22 B23 B24 B25 B26 B27 B28 B29 B30 B31 B32 B33 B34 B35 B36 B37 B38 B39 B40 B41 B42 B43 B44 B45 B46 B47 B48 B49 B50 B51" showDropDown="0" showInputMessage="0" showErrorMessage="0" allowBlank="1" errorTitle="Invalid Meeting Source" error="Please select a valid meeting source." type="list">
      <formula1>"OAC,Design Review,Owner Mtg,Field Walk,Subcontractor Mtg,Internal"</formula1>
    </dataValidation>
    <dataValidation sqref="F2 F3 F4 F5 F6 F7 F8 F9 F10 F11 F12 F13 F14 F15 F16 F17 F18 F19 F20 F21 F22 F23 F24 F25 F26 F27 F28 F29 F30 F31 F32 F33 F34 F35 F36 F37 F38 F39 F40 F41 F42 F43 F44 F45 F46 F47 F48 F49 F50 F51" showDropDown="0" showInputMessage="0" showErrorMessage="0" allowBlank="1" errorTitle="Invalid Status" error="Please select a valid status." type="list">
      <formula1>"Open,In Progress,Completed,Overdue,Deferred"</formula1>
    </dataValidation>
    <dataValidation sqref="G2 G3 G4 G5 G6 G7 G8 G9 G10 G11 G12 G13 G14 G15 G16 G17 G18 G19 G20 G21 G22 G23 G24 G25 G26 G27 G28 G29 G30 G31 G32 G33 G34 G35 G36 G37 G38 G39 G40 G41 G42 G43 G44 G45 G46 G47 G48 G49 G50 G51" showDropDown="0" showInputMessage="0" showErrorMessage="0" allowBlank="1" errorTitle="Invalid Priority" error="Please select a valid priority." type="list">
      <formula1>"Low,Medium,High,Critical"</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14" customWidth="1" min="3" max="3"/>
  </cols>
  <sheetData>
    <row r="1">
      <c r="A1" s="8" t="inlineStr">
        <is>
          <t>Metric</t>
        </is>
      </c>
      <c r="B1" s="8" t="inlineStr">
        <is>
          <t>Category</t>
        </is>
      </c>
      <c r="C1" s="8" t="inlineStr">
        <is>
          <t>Count</t>
        </is>
      </c>
    </row>
    <row r="2">
      <c r="A2" s="9" t="inlineStr">
        <is>
          <t>By Status</t>
        </is>
      </c>
    </row>
    <row r="3">
      <c r="A3" s="10" t="n"/>
      <c r="B3" s="11" t="inlineStr">
        <is>
          <t>Open</t>
        </is>
      </c>
      <c r="C3" s="11">
        <f>COUNTIF('Action Items'!F:F,B3)</f>
        <v/>
      </c>
    </row>
    <row r="4">
      <c r="A4" s="10" t="n"/>
      <c r="B4" s="11" t="inlineStr">
        <is>
          <t>In Progress</t>
        </is>
      </c>
      <c r="C4" s="11">
        <f>COUNTIF('Action Items'!F:F,B4)</f>
        <v/>
      </c>
    </row>
    <row r="5">
      <c r="A5" s="10" t="n"/>
      <c r="B5" s="11" t="inlineStr">
        <is>
          <t>Completed</t>
        </is>
      </c>
      <c r="C5" s="11">
        <f>COUNTIF('Action Items'!F:F,B5)</f>
        <v/>
      </c>
    </row>
    <row r="6">
      <c r="A6" s="10" t="n"/>
      <c r="B6" s="11" t="inlineStr">
        <is>
          <t>Overdue</t>
        </is>
      </c>
      <c r="C6" s="11">
        <f>COUNTIF('Action Items'!F:F,B6)</f>
        <v/>
      </c>
    </row>
    <row r="7">
      <c r="A7" s="10" t="n"/>
      <c r="B7" s="11" t="inlineStr">
        <is>
          <t>Deferred</t>
        </is>
      </c>
      <c r="C7" s="11">
        <f>COUNTIF('Action Items'!F:F,B7)</f>
        <v/>
      </c>
    </row>
    <row r="8">
      <c r="B8" s="12" t="inlineStr">
        <is>
          <t>Total</t>
        </is>
      </c>
      <c r="C8" s="13">
        <f>SUM(C3:C7)</f>
        <v/>
      </c>
    </row>
    <row r="10">
      <c r="A10" s="9" t="inlineStr">
        <is>
          <t>By Priority</t>
        </is>
      </c>
    </row>
    <row r="11">
      <c r="B11" s="11" t="inlineStr">
        <is>
          <t>Low</t>
        </is>
      </c>
      <c r="C11" s="11">
        <f>COUNTIF('Action Items'!G:G,B11)</f>
        <v/>
      </c>
    </row>
    <row r="12">
      <c r="B12" s="11" t="inlineStr">
        <is>
          <t>Medium</t>
        </is>
      </c>
      <c r="C12" s="11">
        <f>COUNTIF('Action Items'!G:G,B12)</f>
        <v/>
      </c>
    </row>
    <row r="13">
      <c r="B13" s="11" t="inlineStr">
        <is>
          <t>High</t>
        </is>
      </c>
      <c r="C13" s="11">
        <f>COUNTIF('Action Items'!G:G,B13)</f>
        <v/>
      </c>
    </row>
    <row r="14">
      <c r="B14" s="11" t="inlineStr">
        <is>
          <t>Critical</t>
        </is>
      </c>
      <c r="C14" s="11">
        <f>COUNTIF('Action Items'!G:G,B14)</f>
        <v/>
      </c>
    </row>
    <row r="15">
      <c r="B15" s="12" t="inlineStr">
        <is>
          <t>Total</t>
        </is>
      </c>
      <c r="C15" s="13">
        <f>SUM(C11:C14)</f>
        <v/>
      </c>
    </row>
    <row r="17">
      <c r="A17" s="9" t="inlineStr">
        <is>
          <t>By Owner</t>
        </is>
      </c>
    </row>
    <row r="18">
      <c r="B18" s="11" t="inlineStr">
        <is>
          <t>Jake Thompson</t>
        </is>
      </c>
      <c r="C18" s="11">
        <f>COUNTIF('Action Items'!D:D,B18)</f>
        <v/>
      </c>
    </row>
    <row r="19">
      <c r="B19" s="11" t="inlineStr">
        <is>
          <t>Maria Santos</t>
        </is>
      </c>
      <c r="C19" s="11">
        <f>COUNTIF('Action Items'!D:D,B19)</f>
        <v/>
      </c>
    </row>
    <row r="20">
      <c r="B20" s="11" t="inlineStr">
        <is>
          <t>David Chen</t>
        </is>
      </c>
      <c r="C20" s="11">
        <f>COUNTIF('Action Items'!D:D,B20)</f>
        <v/>
      </c>
    </row>
    <row r="21">
      <c r="B21" s="11" t="inlineStr">
        <is>
          <t>Sarah Miller</t>
        </is>
      </c>
      <c r="C21" s="11">
        <f>COUNTIF('Action Items'!D:D,B21)</f>
        <v/>
      </c>
    </row>
    <row r="22">
      <c r="B22" s="11" t="inlineStr">
        <is>
          <t>Tom Bradley</t>
        </is>
      </c>
      <c r="C22" s="11">
        <f>COUNTIF('Action Items'!D:D,B22)</f>
        <v/>
      </c>
    </row>
    <row r="23">
      <c r="B23" s="11" t="inlineStr">
        <is>
          <t>Lisa Nguyen</t>
        </is>
      </c>
      <c r="C23" s="11">
        <f>COUNTIF('Action Items'!D:D,B23)</f>
        <v/>
      </c>
    </row>
    <row r="24">
      <c r="B24" s="11" t="inlineStr">
        <is>
          <t>Kevin O'Brien</t>
        </is>
      </c>
      <c r="C24" s="11">
        <f>COUNTIF('Action Items'!D:D,B24)</f>
        <v/>
      </c>
    </row>
    <row r="25">
      <c r="B25" s="11" t="inlineStr">
        <is>
          <t>Rachel Kim</t>
        </is>
      </c>
      <c r="C25" s="11">
        <f>COUNTIF('Action Items'!D:D,B25)</f>
        <v/>
      </c>
    </row>
    <row r="26">
      <c r="B26" s="11" t="inlineStr">
        <is>
          <t>Carlos Rivera</t>
        </is>
      </c>
      <c r="C26" s="11">
        <f>COUNTIF('Action Items'!D:D,B26)</f>
        <v/>
      </c>
    </row>
    <row r="27">
      <c r="B27" s="11" t="inlineStr">
        <is>
          <t>Emily Park</t>
        </is>
      </c>
      <c r="C27" s="11">
        <f>COUNTIF('Action Items'!D:D,B27)</f>
        <v/>
      </c>
    </row>
    <row r="28">
      <c r="B28" s="12" t="inlineStr">
        <is>
          <t>Total</t>
        </is>
      </c>
      <c r="C28" s="13">
        <f>SUM(C18:C27)</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2026-06-07T19:49:25Z</dcterms:created>
  <dcterms:modified xmlns:dcterms="http://purl.org/dc/terms/" xmlns:xsi="http://www.w3.org/2001/XMLSchema-instance" xsi:type="dcterms:W3CDTF">2026-06-07T19:49:25Z</dcterms:modified>
</cp:coreProperties>
</file>