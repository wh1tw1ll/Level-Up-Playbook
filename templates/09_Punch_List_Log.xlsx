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nch List" sheetId="1" state="visible" r:id="rId1"/>
    <sheet xmlns:r="http://schemas.openxmlformats.org/officeDocument/2006/relationships" name="Summary" sheetId="2" state="visible" r:id="rId2"/>
  </sheets>
  <definedNames>
    <definedName name="_xlnm._FilterDatabase" localSheetId="0" hidden="1">'Punch List'!$A$1:$K$201</definedName>
  </definedNames>
  <calcPr calcId="124519" fullCalcOnLoad="1"/>
</workbook>
</file>

<file path=xl/styles.xml><?xml version="1.0" encoding="utf-8"?>
<styleSheet xmlns="http://schemas.openxmlformats.org/spreadsheetml/2006/main">
  <numFmts count="3">
    <numFmt numFmtId="164" formatCode="yyyy-mm-dd h:mm:ss"/>
    <numFmt numFmtId="165" formatCode="MM/DD/YYYY"/>
    <numFmt numFmtId="166" formatCode="0.0%"/>
  </numFmts>
  <fonts count="9">
    <font>
      <name val="Calibri"/>
      <family val="2"/>
      <color theme="1"/>
      <sz val="11"/>
      <scheme val="minor"/>
    </font>
    <font>
      <name val="Calibri"/>
      <b val="1"/>
      <color rgb="00FFFFFF"/>
      <sz val="11"/>
    </font>
    <font>
      <b val="1"/>
      <color rgb="00008080"/>
      <sz val="12"/>
    </font>
    <font>
      <b val="1"/>
    </font>
    <font>
      <b val="1"/>
      <color rgb="00008080"/>
    </font>
    <font>
      <name val="Calibri"/>
      <b val="1"/>
      <color rgb="00FFFFFF"/>
      <sz val="12"/>
    </font>
    <font>
      <name val="Calibri"/>
      <b val="1"/>
      <sz val="11"/>
    </font>
    <font>
      <name val="Calibri"/>
      <sz val="11"/>
    </font>
    <font>
      <name val="Calibri"/>
      <b val="1"/>
      <color rgb="00008080"/>
      <sz val="12"/>
    </font>
  </fonts>
  <fills count="4">
    <fill>
      <patternFill/>
    </fill>
    <fill>
      <patternFill patternType="gray125"/>
    </fill>
    <fill>
      <patternFill patternType="solid">
        <fgColor rgb="00008080"/>
        <bgColor rgb="00008080"/>
      </patternFill>
    </fill>
    <fill>
      <patternFill patternType="solid">
        <fgColor rgb="00F0F8F8"/>
        <bgColor rgb="00F0F8F8"/>
      </patternFill>
    </fill>
  </fills>
  <borders count="2">
    <border>
      <left/>
      <right/>
      <top/>
      <bottom/>
      <diagonal/>
    </border>
    <border>
      <bottom style="thin">
        <color rgb="0000404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165"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7" fillId="3" borderId="0" pivotButton="0" quotePrefix="0" xfId="0"/>
    <xf numFmtId="0" fontId="8" fillId="0" borderId="0" pivotButton="0" quotePrefix="0" xfId="0"/>
    <xf numFmtId="166" fontId="7" fillId="3" borderId="0" pivotButton="0" quotePrefix="0" xfId="0"/>
  </cellXfs>
  <cellStyles count="1">
    <cellStyle name="Normal" xfId="0" builtinId="0" hidden="0"/>
  </cellStyles>
  <dxfs count="5">
    <dxf>
      <font>
        <b val="1"/>
        <color rgb="00FFFFFF"/>
      </font>
      <fill>
        <patternFill patternType="solid">
          <fgColor rgb="00FF4444"/>
          <bgColor rgb="00FF4444"/>
        </patternFill>
      </fill>
    </dxf>
    <dxf>
      <font>
        <b val="1"/>
        <color rgb="00FFFFFF"/>
      </font>
      <fill>
        <patternFill patternType="solid">
          <fgColor rgb="00FF8C00"/>
          <bgColor rgb="00FF8C00"/>
        </patternFill>
      </fill>
    </dxf>
    <dxf>
      <font>
        <b val="1"/>
        <color rgb="00333333"/>
      </font>
      <fill>
        <patternFill patternType="solid">
          <fgColor rgb="00FFD700"/>
          <bgColor rgb="00FFD700"/>
        </patternFill>
      </fill>
    </dxf>
    <dxf>
      <font>
        <b val="1"/>
        <color rgb="00FFFFFF"/>
      </font>
      <fill>
        <patternFill patternType="solid">
          <fgColor rgb="004CAF50"/>
          <bgColor rgb="004CAF50"/>
        </patternFill>
      </fill>
    </dxf>
    <dxf>
      <font>
        <b val="1"/>
        <color rgb="00FFFFFF"/>
      </font>
      <fill>
        <patternFill patternType="solid">
          <fgColor rgb="002196F3"/>
          <bgColor rgb="002196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8" customWidth="1" min="3" max="3"/>
    <col width="50" customWidth="1" min="4" max="4"/>
    <col width="12" customWidth="1" min="5" max="5"/>
    <col width="18" customWidth="1" min="6" max="6"/>
    <col width="16" customWidth="1" min="7" max="7"/>
    <col width="14" customWidth="1" min="8" max="8"/>
    <col width="12" customWidth="1" min="9" max="9"/>
    <col width="20" customWidth="1" min="10" max="10"/>
    <col width="30" customWidth="1" min="11" max="11"/>
  </cols>
  <sheetData>
    <row r="1" ht="22" customHeight="1">
      <c r="A1" s="1" t="inlineStr">
        <is>
          <t>Item #</t>
        </is>
      </c>
      <c r="B1" s="1" t="inlineStr">
        <is>
          <t>Location</t>
        </is>
      </c>
      <c r="C1" s="1" t="inlineStr">
        <is>
          <t>Trade</t>
        </is>
      </c>
      <c r="D1" s="1" t="inlineStr">
        <is>
          <t>Description</t>
        </is>
      </c>
      <c r="E1" s="1" t="inlineStr">
        <is>
          <t>Priority</t>
        </is>
      </c>
      <c r="F1" s="1" t="inlineStr">
        <is>
          <t>Assignee</t>
        </is>
      </c>
      <c r="G1" s="1" t="inlineStr">
        <is>
          <t>Date Identified</t>
        </is>
      </c>
      <c r="H1" s="1" t="inlineStr">
        <is>
          <t>Target Date</t>
        </is>
      </c>
      <c r="I1" s="1" t="inlineStr">
        <is>
          <t>Days Open</t>
        </is>
      </c>
      <c r="J1" s="1" t="inlineStr">
        <is>
          <t>Status</t>
        </is>
      </c>
      <c r="K1" s="1" t="inlineStr">
        <is>
          <t>Notes</t>
        </is>
      </c>
    </row>
    <row r="2">
      <c r="A2" t="inlineStr">
        <is>
          <t>PL-001</t>
        </is>
      </c>
      <c r="B2" t="inlineStr">
        <is>
          <t>Storage</t>
        </is>
      </c>
      <c r="C2" t="inlineStr">
        <is>
          <t>HVAC</t>
        </is>
      </c>
      <c r="D2" t="inlineStr">
        <is>
          <t>Toilet flange not secured to floor</t>
        </is>
      </c>
      <c r="E2" t="inlineStr">
        <is>
          <t>Medium</t>
        </is>
      </c>
      <c r="F2" t="inlineStr">
        <is>
          <t>M. Patel</t>
        </is>
      </c>
      <c r="G2" s="2" t="n">
        <v>46040</v>
      </c>
      <c r="H2" s="2" t="n">
        <v>46064</v>
      </c>
      <c r="I2">
        <f>IF(G2="","",TODAY()-G2)</f>
        <v/>
      </c>
      <c r="J2" t="inlineStr">
        <is>
          <t>Ready for Review</t>
        </is>
      </c>
      <c r="K2" t="inlineStr">
        <is>
          <t>Inspected by N. Davis</t>
        </is>
      </c>
    </row>
    <row r="3">
      <c r="A3" t="inlineStr">
        <is>
          <t>PL-002</t>
        </is>
      </c>
      <c r="B3" t="inlineStr">
        <is>
          <t>Field</t>
        </is>
      </c>
      <c r="C3" t="inlineStr">
        <is>
          <t>Electrical</t>
        </is>
      </c>
      <c r="D3" t="inlineStr">
        <is>
          <t>Paint touch-up required on south wall</t>
        </is>
      </c>
      <c r="E3" t="inlineStr">
        <is>
          <t>Critical</t>
        </is>
      </c>
      <c r="F3" t="inlineStr">
        <is>
          <t>L. Chen</t>
        </is>
      </c>
      <c r="G3" s="2" t="n">
        <v>46145</v>
      </c>
      <c r="H3" s="2" t="n">
        <v>46158</v>
      </c>
      <c r="I3">
        <f>IF(G3="","",TODAY()-G3)</f>
        <v/>
      </c>
      <c r="J3" t="inlineStr">
        <is>
          <t>Open</t>
        </is>
      </c>
      <c r="K3" t="inlineStr"/>
    </row>
    <row r="4">
      <c r="A4" t="inlineStr">
        <is>
          <t>PL-003</t>
        </is>
      </c>
      <c r="B4" t="inlineStr">
        <is>
          <t>Storage</t>
        </is>
      </c>
      <c r="C4" t="inlineStr">
        <is>
          <t>Carpentry</t>
        </is>
      </c>
      <c r="D4" t="inlineStr">
        <is>
          <t>Thermostat not communicating with BMS</t>
        </is>
      </c>
      <c r="E4" t="inlineStr">
        <is>
          <t>Low</t>
        </is>
      </c>
      <c r="F4" t="inlineStr">
        <is>
          <t>J. Garcia</t>
        </is>
      </c>
      <c r="G4" s="2" t="n">
        <v>46139</v>
      </c>
      <c r="H4" s="2" t="n">
        <v>46159</v>
      </c>
      <c r="I4">
        <f>IF(G4="","",TODAY()-G4)</f>
        <v/>
      </c>
      <c r="J4" t="inlineStr">
        <is>
          <t>Ready for Review</t>
        </is>
      </c>
      <c r="K4" t="inlineStr"/>
    </row>
    <row r="5">
      <c r="A5" t="inlineStr">
        <is>
          <t>PL-004</t>
        </is>
      </c>
      <c r="B5" t="inlineStr">
        <is>
          <t>Exterior</t>
        </is>
      </c>
      <c r="C5" t="inlineStr">
        <is>
          <t>Painting</t>
        </is>
      </c>
      <c r="D5" t="inlineStr">
        <is>
          <t>Toilet flange not secured to floor</t>
        </is>
      </c>
      <c r="E5" t="inlineStr">
        <is>
          <t>Low</t>
        </is>
      </c>
      <c r="F5" t="inlineStr">
        <is>
          <t>R. Thompson</t>
        </is>
      </c>
      <c r="G5" s="2" t="n">
        <v>46158</v>
      </c>
      <c r="H5" s="2" t="n">
        <v>46181</v>
      </c>
      <c r="I5">
        <f>IF(G5="","",TODAY()-G5)</f>
        <v/>
      </c>
      <c r="J5" t="inlineStr">
        <is>
          <t>Rejected</t>
        </is>
      </c>
      <c r="K5" t="inlineStr">
        <is>
          <t>Inspected by A. Kim</t>
        </is>
      </c>
    </row>
    <row r="6">
      <c r="A6" t="inlineStr">
        <is>
          <t>PL-005</t>
        </is>
      </c>
      <c r="B6" t="inlineStr">
        <is>
          <t>Restroom</t>
        </is>
      </c>
      <c r="C6" t="inlineStr">
        <is>
          <t>Steel</t>
        </is>
      </c>
      <c r="D6" t="inlineStr">
        <is>
          <t>Ceiling tile stained — replace</t>
        </is>
      </c>
      <c r="E6" t="inlineStr">
        <is>
          <t>High</t>
        </is>
      </c>
      <c r="F6" t="inlineStr">
        <is>
          <t>K. Johnson</t>
        </is>
      </c>
      <c r="G6" s="2" t="n">
        <v>46161</v>
      </c>
      <c r="H6" s="2" t="n">
        <v>46191</v>
      </c>
      <c r="I6">
        <f>IF(G6="","",TODAY()-G6)</f>
        <v/>
      </c>
      <c r="J6" t="inlineStr">
        <is>
          <t>Closed</t>
        </is>
      </c>
      <c r="K6" t="inlineStr">
        <is>
          <t>Inspected by L. Chen</t>
        </is>
      </c>
    </row>
    <row r="7">
      <c r="A7" t="inlineStr">
        <is>
          <t>PL-006</t>
        </is>
      </c>
      <c r="B7" t="inlineStr">
        <is>
          <t>Restroom</t>
        </is>
      </c>
      <c r="C7" t="inlineStr">
        <is>
          <t>HVAC</t>
        </is>
      </c>
      <c r="D7" t="inlineStr">
        <is>
          <t>Sprinkler head paint overspray — clean</t>
        </is>
      </c>
      <c r="E7" t="inlineStr">
        <is>
          <t>High</t>
        </is>
      </c>
      <c r="F7" t="inlineStr">
        <is>
          <t>L. Chen</t>
        </is>
      </c>
      <c r="G7" s="2" t="n">
        <v>46040</v>
      </c>
      <c r="H7" s="2" t="n">
        <v>46067</v>
      </c>
      <c r="I7">
        <f>IF(G7="","",TODAY()-G7)</f>
        <v/>
      </c>
      <c r="J7" t="inlineStr">
        <is>
          <t>Closed</t>
        </is>
      </c>
      <c r="K7" t="inlineStr">
        <is>
          <t>Inspected by N. Davis</t>
        </is>
      </c>
    </row>
    <row r="8">
      <c r="A8" t="inlineStr">
        <is>
          <t>PL-007</t>
        </is>
      </c>
      <c r="B8" t="inlineStr">
        <is>
          <t>Lobby</t>
        </is>
      </c>
      <c r="C8" t="inlineStr">
        <is>
          <t>Millwork</t>
        </is>
      </c>
      <c r="D8" t="inlineStr">
        <is>
          <t>GFCI outlet missing cover plate</t>
        </is>
      </c>
      <c r="E8" t="inlineStr">
        <is>
          <t>Medium</t>
        </is>
      </c>
      <c r="F8" t="inlineStr">
        <is>
          <t>R. Thompson</t>
        </is>
      </c>
      <c r="G8" s="2" t="n">
        <v>46136</v>
      </c>
      <c r="H8" s="2" t="n">
        <v>46158</v>
      </c>
      <c r="I8">
        <f>IF(G8="","",TODAY()-G8)</f>
        <v/>
      </c>
      <c r="J8" t="inlineStr">
        <is>
          <t>Closed</t>
        </is>
      </c>
      <c r="K8" t="inlineStr"/>
    </row>
    <row r="9">
      <c r="A9" t="inlineStr">
        <is>
          <t>PL-008</t>
        </is>
      </c>
      <c r="B9" t="inlineStr">
        <is>
          <t>Field</t>
        </is>
      </c>
      <c r="C9" t="inlineStr">
        <is>
          <t>Steel</t>
        </is>
      </c>
      <c r="D9" t="inlineStr">
        <is>
          <t>Light fixture not aligned with grid</t>
        </is>
      </c>
      <c r="E9" t="inlineStr">
        <is>
          <t>Critical</t>
        </is>
      </c>
      <c r="F9" t="inlineStr">
        <is>
          <t>D. Williams</t>
        </is>
      </c>
      <c r="G9" s="2" t="n">
        <v>46140</v>
      </c>
      <c r="H9" s="2" t="n">
        <v>46163</v>
      </c>
      <c r="I9">
        <f>IF(G9="","",TODAY()-G9)</f>
        <v/>
      </c>
      <c r="J9" t="inlineStr">
        <is>
          <t>Closed</t>
        </is>
      </c>
      <c r="K9" t="inlineStr"/>
    </row>
    <row r="10">
      <c r="A10" t="inlineStr">
        <is>
          <t>PL-009</t>
        </is>
      </c>
      <c r="B10" t="inlineStr">
        <is>
          <t>Exterior</t>
        </is>
      </c>
      <c r="C10" t="inlineStr">
        <is>
          <t>MEP</t>
        </is>
      </c>
      <c r="D10" t="inlineStr">
        <is>
          <t>Missing fire caulking at pipe penetration</t>
        </is>
      </c>
      <c r="E10" t="inlineStr">
        <is>
          <t>Low</t>
        </is>
      </c>
      <c r="F10" t="inlineStr">
        <is>
          <t>T. Brown</t>
        </is>
      </c>
      <c r="G10" s="2" t="n">
        <v>46074</v>
      </c>
      <c r="H10" s="2" t="n">
        <v>46086</v>
      </c>
      <c r="I10">
        <f>IF(G10="","",TODAY()-G10)</f>
        <v/>
      </c>
      <c r="J10" t="inlineStr">
        <is>
          <t>Open</t>
        </is>
      </c>
      <c r="K10" t="inlineStr"/>
    </row>
    <row r="11">
      <c r="A11" t="inlineStr">
        <is>
          <t>PL-010</t>
        </is>
      </c>
      <c r="B11" t="inlineStr">
        <is>
          <t>Lobby</t>
        </is>
      </c>
      <c r="C11" t="inlineStr">
        <is>
          <t>Painting</t>
        </is>
      </c>
      <c r="D11" t="inlineStr">
        <is>
          <t>Window seal gap — apply silicone</t>
        </is>
      </c>
      <c r="E11" t="inlineStr">
        <is>
          <t>Critical</t>
        </is>
      </c>
      <c r="F11" t="inlineStr">
        <is>
          <t>A. Kim</t>
        </is>
      </c>
      <c r="G11" s="2" t="n">
        <v>46042</v>
      </c>
      <c r="H11" s="2" t="n">
        <v>46062</v>
      </c>
      <c r="I11">
        <f>IF(G11="","",TODAY()-G11)</f>
        <v/>
      </c>
      <c r="J11" t="inlineStr">
        <is>
          <t>In Progress</t>
        </is>
      </c>
      <c r="K11" t="inlineStr"/>
    </row>
    <row r="12">
      <c r="A12" t="inlineStr">
        <is>
          <t>PL-011</t>
        </is>
      </c>
      <c r="B12" t="inlineStr">
        <is>
          <t>Lobby</t>
        </is>
      </c>
      <c r="C12" t="inlineStr">
        <is>
          <t>Millwork</t>
        </is>
      </c>
      <c r="D12" t="inlineStr">
        <is>
          <t>Drain cleanout plug cross-threaded</t>
        </is>
      </c>
      <c r="E12" t="inlineStr">
        <is>
          <t>High</t>
        </is>
      </c>
      <c r="F12" t="inlineStr">
        <is>
          <t>T. Brown</t>
        </is>
      </c>
      <c r="G12" s="2" t="n">
        <v>46135</v>
      </c>
      <c r="H12" s="2" t="n">
        <v>46142</v>
      </c>
      <c r="I12">
        <f>IF(G12="","",TODAY()-G12)</f>
        <v/>
      </c>
      <c r="J12" t="inlineStr">
        <is>
          <t>Open</t>
        </is>
      </c>
      <c r="K12" t="inlineStr"/>
    </row>
    <row r="13">
      <c r="A13" t="inlineStr">
        <is>
          <t>PL-012</t>
        </is>
      </c>
      <c r="B13" t="inlineStr">
        <is>
          <t>Concourse</t>
        </is>
      </c>
      <c r="C13" t="inlineStr">
        <is>
          <t>Millwork</t>
        </is>
      </c>
      <c r="D13" t="inlineStr">
        <is>
          <t>Screw pops in drywall — repair and finish</t>
        </is>
      </c>
      <c r="E13" t="inlineStr">
        <is>
          <t>Low</t>
        </is>
      </c>
      <c r="F13" t="inlineStr">
        <is>
          <t>J. Garcia</t>
        </is>
      </c>
      <c r="G13" s="2" t="n">
        <v>46093</v>
      </c>
      <c r="H13" s="2" t="n">
        <v>46119</v>
      </c>
      <c r="I13">
        <f>IF(G13="","",TODAY()-G13)</f>
        <v/>
      </c>
      <c r="J13" t="inlineStr">
        <is>
          <t>Ready for Review</t>
        </is>
      </c>
      <c r="K13" t="inlineStr">
        <is>
          <t>Inspected by R. Thompson</t>
        </is>
      </c>
    </row>
    <row r="14">
      <c r="A14" t="inlineStr">
        <is>
          <t>PL-013</t>
        </is>
      </c>
      <c r="B14" t="inlineStr">
        <is>
          <t>Lobby</t>
        </is>
      </c>
      <c r="C14" t="inlineStr">
        <is>
          <t>MEP</t>
        </is>
      </c>
      <c r="D14" t="inlineStr">
        <is>
          <t>Handrail bracket loose on stairway</t>
        </is>
      </c>
      <c r="E14" t="inlineStr">
        <is>
          <t>Critical</t>
        </is>
      </c>
      <c r="F14" t="inlineStr">
        <is>
          <t>R. Thompson</t>
        </is>
      </c>
      <c r="G14" s="2" t="n">
        <v>46090</v>
      </c>
      <c r="H14" s="2" t="n">
        <v>46097</v>
      </c>
      <c r="I14">
        <f>IF(G14="","",TODAY()-G14)</f>
        <v/>
      </c>
      <c r="J14" t="inlineStr">
        <is>
          <t>Open</t>
        </is>
      </c>
      <c r="K14" t="inlineStr"/>
    </row>
    <row r="15">
      <c r="A15" t="inlineStr">
        <is>
          <t>PL-014</t>
        </is>
      </c>
      <c r="B15" t="inlineStr">
        <is>
          <t>Roof</t>
        </is>
      </c>
      <c r="C15" t="inlineStr">
        <is>
          <t>Steel</t>
        </is>
      </c>
      <c r="D15" t="inlineStr">
        <is>
          <t>Mirror damaged in west restroom</t>
        </is>
      </c>
      <c r="E15" t="inlineStr">
        <is>
          <t>High</t>
        </is>
      </c>
      <c r="F15" t="inlineStr">
        <is>
          <t>N. Davis</t>
        </is>
      </c>
      <c r="G15" s="2" t="n">
        <v>46146</v>
      </c>
      <c r="H15" s="2" t="n">
        <v>46163</v>
      </c>
      <c r="I15">
        <f>IF(G15="","",TODAY()-G15)</f>
        <v/>
      </c>
      <c r="J15" t="inlineStr">
        <is>
          <t>In Progress</t>
        </is>
      </c>
      <c r="K15" t="inlineStr"/>
    </row>
    <row r="16">
      <c r="A16" t="inlineStr">
        <is>
          <t>PL-015</t>
        </is>
      </c>
      <c r="B16" t="inlineStr">
        <is>
          <t>Field</t>
        </is>
      </c>
      <c r="C16" t="inlineStr">
        <is>
          <t>Carpentry</t>
        </is>
      </c>
      <c r="D16" t="inlineStr">
        <is>
          <t>Floor tile cracked — replace 12×12 section</t>
        </is>
      </c>
      <c r="E16" t="inlineStr">
        <is>
          <t>Medium</t>
        </is>
      </c>
      <c r="F16" t="inlineStr">
        <is>
          <t>J. Garcia</t>
        </is>
      </c>
      <c r="G16" s="2" t="n">
        <v>46174</v>
      </c>
      <c r="H16" s="2" t="n">
        <v>46204</v>
      </c>
      <c r="I16">
        <f>IF(G16="","",TODAY()-G16)</f>
        <v/>
      </c>
      <c r="J16" t="inlineStr">
        <is>
          <t>Open</t>
        </is>
      </c>
      <c r="K16" t="inlineStr"/>
    </row>
    <row r="17">
      <c r="A17" t="inlineStr">
        <is>
          <t>PL-016</t>
        </is>
      </c>
      <c r="B17" t="inlineStr">
        <is>
          <t>Stairwell</t>
        </is>
      </c>
      <c r="C17" t="inlineStr">
        <is>
          <t>Plumbing</t>
        </is>
      </c>
      <c r="D17" t="inlineStr">
        <is>
          <t>Drain cleanout plug cross-threaded</t>
        </is>
      </c>
      <c r="E17" t="inlineStr">
        <is>
          <t>Medium</t>
        </is>
      </c>
      <c r="F17" t="inlineStr">
        <is>
          <t>T. Brown</t>
        </is>
      </c>
      <c r="G17" s="2" t="n">
        <v>46065</v>
      </c>
      <c r="H17" s="2" t="n">
        <v>46074</v>
      </c>
      <c r="I17">
        <f>IF(G17="","",TODAY()-G17)</f>
        <v/>
      </c>
      <c r="J17" t="inlineStr">
        <is>
          <t>Closed</t>
        </is>
      </c>
      <c r="K17" t="inlineStr"/>
    </row>
    <row r="18">
      <c r="A18" t="inlineStr">
        <is>
          <t>PL-017</t>
        </is>
      </c>
      <c r="B18" t="inlineStr">
        <is>
          <t>Concourse</t>
        </is>
      </c>
      <c r="C18" t="inlineStr">
        <is>
          <t>Millwork</t>
        </is>
      </c>
      <c r="D18" t="inlineStr">
        <is>
          <t>Drain cleanout plug cross-threaded</t>
        </is>
      </c>
      <c r="E18" t="inlineStr">
        <is>
          <t>Medium</t>
        </is>
      </c>
      <c r="F18" t="inlineStr">
        <is>
          <t>R. Thompson</t>
        </is>
      </c>
      <c r="G18" s="2" t="n">
        <v>46048</v>
      </c>
      <c r="H18" s="2" t="n">
        <v>46057</v>
      </c>
      <c r="I18">
        <f>IF(G18="","",TODAY()-G18)</f>
        <v/>
      </c>
      <c r="J18" t="inlineStr">
        <is>
          <t>Ready for Review</t>
        </is>
      </c>
      <c r="K18" t="inlineStr"/>
    </row>
    <row r="19">
      <c r="A19" t="inlineStr">
        <is>
          <t>PL-018</t>
        </is>
      </c>
      <c r="B19" t="inlineStr">
        <is>
          <t>Field</t>
        </is>
      </c>
      <c r="C19" t="inlineStr">
        <is>
          <t>Flooring</t>
        </is>
      </c>
      <c r="D19" t="inlineStr">
        <is>
          <t>Paint touch-up required on south wall</t>
        </is>
      </c>
      <c r="E19" t="inlineStr">
        <is>
          <t>Medium</t>
        </is>
      </c>
      <c r="F19" t="inlineStr">
        <is>
          <t>K. Johnson</t>
        </is>
      </c>
      <c r="G19" s="2" t="n">
        <v>46058</v>
      </c>
      <c r="H19" s="2" t="n">
        <v>46070</v>
      </c>
      <c r="I19">
        <f>IF(G19="","",TODAY()-G19)</f>
        <v/>
      </c>
      <c r="J19" t="inlineStr">
        <is>
          <t>In Progress</t>
        </is>
      </c>
      <c r="K19" t="inlineStr"/>
    </row>
    <row r="20">
      <c r="A20" t="inlineStr">
        <is>
          <t>PL-019</t>
        </is>
      </c>
      <c r="B20" t="inlineStr">
        <is>
          <t>Lobby</t>
        </is>
      </c>
      <c r="C20" t="inlineStr">
        <is>
          <t>Millwork</t>
        </is>
      </c>
      <c r="D20" t="inlineStr">
        <is>
          <t>Crack in concrete slab near column B-12</t>
        </is>
      </c>
      <c r="E20" t="inlineStr">
        <is>
          <t>Critical</t>
        </is>
      </c>
      <c r="F20" t="inlineStr">
        <is>
          <t>T. Brown</t>
        </is>
      </c>
      <c r="G20" s="2" t="n">
        <v>46149</v>
      </c>
      <c r="H20" s="2" t="n">
        <v>46164</v>
      </c>
      <c r="I20">
        <f>IF(G20="","",TODAY()-G20)</f>
        <v/>
      </c>
      <c r="J20" t="inlineStr">
        <is>
          <t>In Progress</t>
        </is>
      </c>
      <c r="K20" t="inlineStr">
        <is>
          <t>Inspected by S. Rodriguez</t>
        </is>
      </c>
    </row>
    <row r="21">
      <c r="A21" t="inlineStr">
        <is>
          <t>PL-020</t>
        </is>
      </c>
      <c r="B21" t="inlineStr">
        <is>
          <t>Exterior</t>
        </is>
      </c>
      <c r="C21" t="inlineStr">
        <is>
          <t>Glass/Glazing</t>
        </is>
      </c>
      <c r="D21" t="inlineStr">
        <is>
          <t>Fire damper actuator not tested</t>
        </is>
      </c>
      <c r="E21" t="inlineStr">
        <is>
          <t>Critical</t>
        </is>
      </c>
      <c r="F21" t="inlineStr">
        <is>
          <t>N. Davis</t>
        </is>
      </c>
      <c r="G21" s="2" t="n">
        <v>46046</v>
      </c>
      <c r="H21" s="2" t="n">
        <v>46058</v>
      </c>
      <c r="I21">
        <f>IF(G21="","",TODAY()-G21)</f>
        <v/>
      </c>
      <c r="J21" t="inlineStr">
        <is>
          <t>Ready for Review</t>
        </is>
      </c>
      <c r="K21" t="inlineStr">
        <is>
          <t>Inspected by M. Patel</t>
        </is>
      </c>
    </row>
    <row r="22">
      <c r="A22" t="inlineStr">
        <is>
          <t>PL-021</t>
        </is>
      </c>
      <c r="B22" t="inlineStr">
        <is>
          <t>Exterior</t>
        </is>
      </c>
      <c r="C22" t="inlineStr">
        <is>
          <t>Carpentry</t>
        </is>
      </c>
      <c r="D22" t="inlineStr">
        <is>
          <t>Signage panel not level</t>
        </is>
      </c>
      <c r="E22" t="inlineStr">
        <is>
          <t>Low</t>
        </is>
      </c>
      <c r="F22" t="inlineStr">
        <is>
          <t>S. Rodriguez</t>
        </is>
      </c>
      <c r="G22" s="2" t="n">
        <v>46039</v>
      </c>
      <c r="H22" s="2" t="n">
        <v>46048</v>
      </c>
      <c r="I22">
        <f>IF(G22="","",TODAY()-G22)</f>
        <v/>
      </c>
      <c r="J22" t="inlineStr">
        <is>
          <t>In Progress</t>
        </is>
      </c>
      <c r="K22" t="inlineStr"/>
    </row>
    <row r="23">
      <c r="A23" t="inlineStr">
        <is>
          <t>PL-022</t>
        </is>
      </c>
      <c r="B23" t="inlineStr">
        <is>
          <t>Concourse</t>
        </is>
      </c>
      <c r="C23" t="inlineStr">
        <is>
          <t>Concrete</t>
        </is>
      </c>
      <c r="D23" t="inlineStr">
        <is>
          <t>Sprinkler head paint overspray — clean</t>
        </is>
      </c>
      <c r="E23" t="inlineStr">
        <is>
          <t>Low</t>
        </is>
      </c>
      <c r="F23" t="inlineStr">
        <is>
          <t>M. Patel</t>
        </is>
      </c>
      <c r="G23" s="2" t="n">
        <v>46176</v>
      </c>
      <c r="H23" s="2" t="n">
        <v>46185</v>
      </c>
      <c r="I23">
        <f>IF(G23="","",TODAY()-G23)</f>
        <v/>
      </c>
      <c r="J23" t="inlineStr">
        <is>
          <t>Closed</t>
        </is>
      </c>
      <c r="K23" t="inlineStr"/>
    </row>
    <row r="24">
      <c r="A24" t="inlineStr">
        <is>
          <t>PL-023</t>
        </is>
      </c>
      <c r="B24" t="inlineStr">
        <is>
          <t>Restroom</t>
        </is>
      </c>
      <c r="C24" t="inlineStr">
        <is>
          <t>Carpentry</t>
        </is>
      </c>
      <c r="D24" t="inlineStr">
        <is>
          <t>Handrail bracket loose on stairway</t>
        </is>
      </c>
      <c r="E24" t="inlineStr">
        <is>
          <t>High</t>
        </is>
      </c>
      <c r="F24" t="inlineStr">
        <is>
          <t>K. Johnson</t>
        </is>
      </c>
      <c r="G24" s="2" t="n">
        <v>46077</v>
      </c>
      <c r="H24" s="2" t="n">
        <v>46091</v>
      </c>
      <c r="I24">
        <f>IF(G24="","",TODAY()-G24)</f>
        <v/>
      </c>
      <c r="J24" t="inlineStr">
        <is>
          <t>Ready for Review</t>
        </is>
      </c>
      <c r="K24" t="inlineStr"/>
    </row>
    <row r="25">
      <c r="A25" t="inlineStr">
        <is>
          <t>PL-024</t>
        </is>
      </c>
      <c r="B25" t="inlineStr">
        <is>
          <t>Concourse</t>
        </is>
      </c>
      <c r="C25" t="inlineStr">
        <is>
          <t>Concrete</t>
        </is>
      </c>
      <c r="D25" t="inlineStr">
        <is>
          <t>Sprinkler head paint overspray — clean</t>
        </is>
      </c>
      <c r="E25" t="inlineStr">
        <is>
          <t>High</t>
        </is>
      </c>
      <c r="F25" t="inlineStr">
        <is>
          <t>N. Davis</t>
        </is>
      </c>
      <c r="G25" s="2" t="n">
        <v>46059</v>
      </c>
      <c r="H25" s="2" t="n">
        <v>46075</v>
      </c>
      <c r="I25">
        <f>IF(G25="","",TODAY()-G25)</f>
        <v/>
      </c>
      <c r="J25" t="inlineStr">
        <is>
          <t>Open</t>
        </is>
      </c>
      <c r="K25" t="inlineStr"/>
    </row>
    <row r="26">
      <c r="A26" t="inlineStr">
        <is>
          <t>PL-025</t>
        </is>
      </c>
      <c r="B26" t="inlineStr">
        <is>
          <t>Stairwell</t>
        </is>
      </c>
      <c r="C26" t="inlineStr">
        <is>
          <t>Glass/Glazing</t>
        </is>
      </c>
      <c r="D26" t="inlineStr">
        <is>
          <t>Caulking missing at countertop backsplash</t>
        </is>
      </c>
      <c r="E26" t="inlineStr">
        <is>
          <t>Low</t>
        </is>
      </c>
      <c r="F26" t="inlineStr">
        <is>
          <t>S. Rodriguez</t>
        </is>
      </c>
      <c r="G26" s="2" t="n">
        <v>46147</v>
      </c>
      <c r="H26" s="2" t="n">
        <v>46177</v>
      </c>
      <c r="I26">
        <f>IF(G26="","",TODAY()-G26)</f>
        <v/>
      </c>
      <c r="J26" t="inlineStr">
        <is>
          <t>Closed</t>
        </is>
      </c>
      <c r="K26" t="inlineStr"/>
    </row>
    <row r="27">
      <c r="A27" t="inlineStr">
        <is>
          <t>PL-026</t>
        </is>
      </c>
      <c r="B27" t="inlineStr">
        <is>
          <t>Concourse</t>
        </is>
      </c>
      <c r="C27" t="inlineStr">
        <is>
          <t>MEP</t>
        </is>
      </c>
      <c r="D27" t="inlineStr">
        <is>
          <t>Millwork edge banding peeling on cabinet</t>
        </is>
      </c>
      <c r="E27" t="inlineStr">
        <is>
          <t>Low</t>
        </is>
      </c>
      <c r="F27" t="inlineStr">
        <is>
          <t>K. Johnson</t>
        </is>
      </c>
      <c r="G27" s="2" t="n">
        <v>46118</v>
      </c>
      <c r="H27" s="2" t="n">
        <v>46131</v>
      </c>
      <c r="I27">
        <f>IF(G27="","",TODAY()-G27)</f>
        <v/>
      </c>
      <c r="J27" t="inlineStr">
        <is>
          <t>Open</t>
        </is>
      </c>
      <c r="K27" t="inlineStr"/>
    </row>
    <row r="28">
      <c r="A28" t="inlineStr">
        <is>
          <t>PL-027</t>
        </is>
      </c>
      <c r="B28" t="inlineStr">
        <is>
          <t>Restroom</t>
        </is>
      </c>
      <c r="C28" t="inlineStr">
        <is>
          <t>Painting</t>
        </is>
      </c>
      <c r="D28" t="inlineStr">
        <is>
          <t>ADA push plate missing on exit door</t>
        </is>
      </c>
      <c r="E28" t="inlineStr">
        <is>
          <t>Critical</t>
        </is>
      </c>
      <c r="F28" t="inlineStr">
        <is>
          <t>N. Davis</t>
        </is>
      </c>
      <c r="G28" s="2" t="n">
        <v>46130</v>
      </c>
      <c r="H28" s="2" t="n">
        <v>46147</v>
      </c>
      <c r="I28">
        <f>IF(G28="","",TODAY()-G28)</f>
        <v/>
      </c>
      <c r="J28" t="inlineStr">
        <is>
          <t>Open</t>
        </is>
      </c>
      <c r="K28" t="inlineStr">
        <is>
          <t>Inspected by T. Brown</t>
        </is>
      </c>
    </row>
    <row r="29">
      <c r="A29" t="inlineStr">
        <is>
          <t>PL-028</t>
        </is>
      </c>
      <c r="B29" t="inlineStr">
        <is>
          <t>Field</t>
        </is>
      </c>
      <c r="C29" t="inlineStr">
        <is>
          <t>Millwork</t>
        </is>
      </c>
      <c r="D29" t="inlineStr">
        <is>
          <t>Roof membrane patched — verify watertight</t>
        </is>
      </c>
      <c r="E29" t="inlineStr">
        <is>
          <t>Low</t>
        </is>
      </c>
      <c r="F29" t="inlineStr">
        <is>
          <t>K. Johnson</t>
        </is>
      </c>
      <c r="G29" s="2" t="n">
        <v>46167</v>
      </c>
      <c r="H29" s="2" t="n">
        <v>46179</v>
      </c>
      <c r="I29">
        <f>IF(G29="","",TODAY()-G29)</f>
        <v/>
      </c>
      <c r="J29" t="inlineStr">
        <is>
          <t>Closed</t>
        </is>
      </c>
      <c r="K29" t="inlineStr">
        <is>
          <t>Inspected by K. Johnson</t>
        </is>
      </c>
    </row>
    <row r="30">
      <c r="A30" t="inlineStr">
        <is>
          <t>PL-029</t>
        </is>
      </c>
      <c r="B30" t="inlineStr">
        <is>
          <t>MEP Room</t>
        </is>
      </c>
      <c r="C30" t="inlineStr">
        <is>
          <t>Carpentry</t>
        </is>
      </c>
      <c r="D30" t="inlineStr">
        <is>
          <t>Expansion joint cover loose</t>
        </is>
      </c>
      <c r="E30" t="inlineStr">
        <is>
          <t>High</t>
        </is>
      </c>
      <c r="F30" t="inlineStr">
        <is>
          <t>L. Chen</t>
        </is>
      </c>
      <c r="G30" s="2" t="n">
        <v>46088</v>
      </c>
      <c r="H30" s="2" t="n">
        <v>46114</v>
      </c>
      <c r="I30">
        <f>IF(G30="","",TODAY()-G30)</f>
        <v/>
      </c>
      <c r="J30" t="inlineStr">
        <is>
          <t>Closed</t>
        </is>
      </c>
      <c r="K30" t="inlineStr"/>
    </row>
    <row r="31">
      <c r="A31" t="inlineStr">
        <is>
          <t>PL-030</t>
        </is>
      </c>
      <c r="B31" t="inlineStr">
        <is>
          <t>Suite</t>
        </is>
      </c>
      <c r="C31" t="inlineStr">
        <is>
          <t>Plumbing</t>
        </is>
      </c>
      <c r="D31" t="inlineStr">
        <is>
          <t>Crack in concrete slab near column B-12</t>
        </is>
      </c>
      <c r="E31" t="inlineStr">
        <is>
          <t>Medium</t>
        </is>
      </c>
      <c r="F31" t="inlineStr">
        <is>
          <t>R. Thompson</t>
        </is>
      </c>
      <c r="G31" s="2" t="n">
        <v>46157</v>
      </c>
      <c r="H31" s="2" t="n">
        <v>46167</v>
      </c>
      <c r="I31">
        <f>IF(G31="","",TODAY()-G31)</f>
        <v/>
      </c>
      <c r="J31" t="inlineStr">
        <is>
          <t>Open</t>
        </is>
      </c>
      <c r="K31" t="inlineStr">
        <is>
          <t>Inspected by R. Thompson</t>
        </is>
      </c>
    </row>
    <row r="32">
      <c r="A32" t="inlineStr">
        <is>
          <t>PL-031</t>
        </is>
      </c>
      <c r="B32" t="inlineStr">
        <is>
          <t>Concourse</t>
        </is>
      </c>
      <c r="C32" t="inlineStr">
        <is>
          <t>General</t>
        </is>
      </c>
      <c r="D32" t="inlineStr">
        <is>
          <t>Screw pops in drywall — repair and finish</t>
        </is>
      </c>
      <c r="E32" t="inlineStr">
        <is>
          <t>Critical</t>
        </is>
      </c>
      <c r="F32" t="inlineStr">
        <is>
          <t>D. Williams</t>
        </is>
      </c>
      <c r="G32" s="2" t="n">
        <v>46167</v>
      </c>
      <c r="H32" s="2" t="n">
        <v>46183</v>
      </c>
      <c r="I32">
        <f>IF(G32="","",TODAY()-G32)</f>
        <v/>
      </c>
      <c r="J32" t="inlineStr">
        <is>
          <t>Rejected</t>
        </is>
      </c>
      <c r="K32" t="inlineStr">
        <is>
          <t>Inspected by R. Thompson</t>
        </is>
      </c>
    </row>
    <row r="33">
      <c r="A33" t="inlineStr">
        <is>
          <t>PL-032</t>
        </is>
      </c>
      <c r="B33" t="inlineStr">
        <is>
          <t>Roof</t>
        </is>
      </c>
      <c r="C33" t="inlineStr">
        <is>
          <t>Finish</t>
        </is>
      </c>
      <c r="D33" t="inlineStr">
        <is>
          <t>Screw pops in drywall — repair and finish</t>
        </is>
      </c>
      <c r="E33" t="inlineStr">
        <is>
          <t>Critical</t>
        </is>
      </c>
      <c r="F33" t="inlineStr">
        <is>
          <t>N. Davis</t>
        </is>
      </c>
      <c r="G33" s="2" t="n">
        <v>46044</v>
      </c>
      <c r="H33" s="2" t="n">
        <v>46059</v>
      </c>
      <c r="I33">
        <f>IF(G33="","",TODAY()-G33)</f>
        <v/>
      </c>
      <c r="J33" t="inlineStr">
        <is>
          <t>Open</t>
        </is>
      </c>
      <c r="K33" t="inlineStr"/>
    </row>
    <row r="34">
      <c r="A34" t="inlineStr">
        <is>
          <t>PL-033</t>
        </is>
      </c>
      <c r="B34" t="inlineStr">
        <is>
          <t>Restroom</t>
        </is>
      </c>
      <c r="C34" t="inlineStr">
        <is>
          <t>Flooring</t>
        </is>
      </c>
      <c r="D34" t="inlineStr">
        <is>
          <t>Corner guard adhesive failing</t>
        </is>
      </c>
      <c r="E34" t="inlineStr">
        <is>
          <t>Medium</t>
        </is>
      </c>
      <c r="F34" t="inlineStr">
        <is>
          <t>T. Brown</t>
        </is>
      </c>
      <c r="G34" s="2" t="n">
        <v>46172</v>
      </c>
      <c r="H34" s="2" t="n">
        <v>46198</v>
      </c>
      <c r="I34">
        <f>IF(G34="","",TODAY()-G34)</f>
        <v/>
      </c>
      <c r="J34" t="inlineStr">
        <is>
          <t>Closed</t>
        </is>
      </c>
      <c r="K34" t="inlineStr">
        <is>
          <t>Inspected by A. Kim</t>
        </is>
      </c>
    </row>
    <row r="35">
      <c r="A35" t="inlineStr">
        <is>
          <t>PL-034</t>
        </is>
      </c>
      <c r="B35" t="inlineStr">
        <is>
          <t>Lobby</t>
        </is>
      </c>
      <c r="C35" t="inlineStr">
        <is>
          <t>Steel</t>
        </is>
      </c>
      <c r="D35" t="inlineStr">
        <is>
          <t>Fire damper actuator not tested</t>
        </is>
      </c>
      <c r="E35" t="inlineStr">
        <is>
          <t>Low</t>
        </is>
      </c>
      <c r="F35" t="inlineStr">
        <is>
          <t>K. Johnson</t>
        </is>
      </c>
      <c r="G35" s="2" t="n">
        <v>46109</v>
      </c>
      <c r="H35" s="2" t="n">
        <v>46136</v>
      </c>
      <c r="I35">
        <f>IF(G35="","",TODAY()-G35)</f>
        <v/>
      </c>
      <c r="J35" t="inlineStr">
        <is>
          <t>Ready for Review</t>
        </is>
      </c>
      <c r="K35" t="inlineStr"/>
    </row>
    <row r="36">
      <c r="A36" t="inlineStr">
        <is>
          <t>PL-035</t>
        </is>
      </c>
      <c r="B36" t="inlineStr">
        <is>
          <t>Exterior</t>
        </is>
      </c>
      <c r="C36" t="inlineStr">
        <is>
          <t>Glass/Glazing</t>
        </is>
      </c>
      <c r="D36" t="inlineStr">
        <is>
          <t>Toilet flange not secured to floor</t>
        </is>
      </c>
      <c r="E36" t="inlineStr">
        <is>
          <t>Critical</t>
        </is>
      </c>
      <c r="F36" t="inlineStr">
        <is>
          <t>K. Johnson</t>
        </is>
      </c>
      <c r="G36" s="2" t="n">
        <v>46169</v>
      </c>
      <c r="H36" s="2" t="n">
        <v>46183</v>
      </c>
      <c r="I36">
        <f>IF(G36="","",TODAY()-G36)</f>
        <v/>
      </c>
      <c r="J36" t="inlineStr">
        <is>
          <t>In Progress</t>
        </is>
      </c>
      <c r="K36" t="inlineStr">
        <is>
          <t>Inspected by R. Thompson</t>
        </is>
      </c>
    </row>
    <row r="37">
      <c r="A37" t="inlineStr">
        <is>
          <t>PL-036</t>
        </is>
      </c>
      <c r="B37" t="inlineStr">
        <is>
          <t>Suite</t>
        </is>
      </c>
      <c r="C37" t="inlineStr">
        <is>
          <t>Flooring</t>
        </is>
      </c>
      <c r="D37" t="inlineStr">
        <is>
          <t>Corner guard adhesive failing</t>
        </is>
      </c>
      <c r="E37" t="inlineStr">
        <is>
          <t>Low</t>
        </is>
      </c>
      <c r="F37" t="inlineStr">
        <is>
          <t>D. Williams</t>
        </is>
      </c>
      <c r="G37" s="2" t="n">
        <v>46166</v>
      </c>
      <c r="H37" s="2" t="n">
        <v>46196</v>
      </c>
      <c r="I37">
        <f>IF(G37="","",TODAY()-G37)</f>
        <v/>
      </c>
      <c r="J37" t="inlineStr">
        <is>
          <t>Ready for Review</t>
        </is>
      </c>
      <c r="K37" t="inlineStr">
        <is>
          <t>Inspected by K. Johnson</t>
        </is>
      </c>
    </row>
    <row r="38">
      <c r="A38" t="inlineStr">
        <is>
          <t>PL-037</t>
        </is>
      </c>
      <c r="B38" t="inlineStr">
        <is>
          <t>Field</t>
        </is>
      </c>
      <c r="C38" t="inlineStr">
        <is>
          <t>Carpentry</t>
        </is>
      </c>
      <c r="D38" t="inlineStr">
        <is>
          <t>Floor tile cracked — replace 12×12 section</t>
        </is>
      </c>
      <c r="E38" t="inlineStr">
        <is>
          <t>Critical</t>
        </is>
      </c>
      <c r="F38" t="inlineStr">
        <is>
          <t>D. Williams</t>
        </is>
      </c>
      <c r="G38" s="2" t="n">
        <v>46102</v>
      </c>
      <c r="H38" s="2" t="n">
        <v>46125</v>
      </c>
      <c r="I38">
        <f>IF(G38="","",TODAY()-G38)</f>
        <v/>
      </c>
      <c r="J38" t="inlineStr">
        <is>
          <t>Open</t>
        </is>
      </c>
      <c r="K38" t="inlineStr"/>
    </row>
    <row r="39">
      <c r="A39" t="inlineStr">
        <is>
          <t>PL-038</t>
        </is>
      </c>
      <c r="B39" t="inlineStr">
        <is>
          <t>Restroom</t>
        </is>
      </c>
      <c r="C39" t="inlineStr">
        <is>
          <t>HVAC</t>
        </is>
      </c>
      <c r="D39" t="inlineStr">
        <is>
          <t>Screw pops in drywall — repair and finish</t>
        </is>
      </c>
      <c r="E39" t="inlineStr">
        <is>
          <t>Low</t>
        </is>
      </c>
      <c r="F39" t="inlineStr">
        <is>
          <t>S. Rodriguez</t>
        </is>
      </c>
      <c r="G39" s="2" t="n">
        <v>46126</v>
      </c>
      <c r="H39" s="2" t="n">
        <v>46140</v>
      </c>
      <c r="I39">
        <f>IF(G39="","",TODAY()-G39)</f>
        <v/>
      </c>
      <c r="J39" t="inlineStr">
        <is>
          <t>Open</t>
        </is>
      </c>
      <c r="K39" t="inlineStr">
        <is>
          <t>Inspected by T. Brown</t>
        </is>
      </c>
    </row>
    <row r="40">
      <c r="A40" t="inlineStr">
        <is>
          <t>PL-039</t>
        </is>
      </c>
      <c r="B40" t="inlineStr">
        <is>
          <t>Lobby</t>
        </is>
      </c>
      <c r="C40" t="inlineStr">
        <is>
          <t>MEP</t>
        </is>
      </c>
      <c r="D40" t="inlineStr">
        <is>
          <t>Sprinkler head paint overspray — clean</t>
        </is>
      </c>
      <c r="E40" t="inlineStr">
        <is>
          <t>Low</t>
        </is>
      </c>
      <c r="F40" t="inlineStr">
        <is>
          <t>R. Thompson</t>
        </is>
      </c>
      <c r="G40" s="2" t="n">
        <v>46045</v>
      </c>
      <c r="H40" s="2" t="n">
        <v>46071</v>
      </c>
      <c r="I40">
        <f>IF(G40="","",TODAY()-G40)</f>
        <v/>
      </c>
      <c r="J40" t="inlineStr">
        <is>
          <t>Closed</t>
        </is>
      </c>
      <c r="K40" t="inlineStr"/>
    </row>
    <row r="41">
      <c r="A41" t="inlineStr">
        <is>
          <t>PL-040</t>
        </is>
      </c>
      <c r="B41" t="inlineStr">
        <is>
          <t>Concourse</t>
        </is>
      </c>
      <c r="C41" t="inlineStr">
        <is>
          <t>Carpentry</t>
        </is>
      </c>
      <c r="D41" t="inlineStr">
        <is>
          <t>Corner guard adhesive failing</t>
        </is>
      </c>
      <c r="E41" t="inlineStr">
        <is>
          <t>Low</t>
        </is>
      </c>
      <c r="F41" t="inlineStr">
        <is>
          <t>K. Johnson</t>
        </is>
      </c>
      <c r="G41" s="2" t="n">
        <v>46043</v>
      </c>
      <c r="H41" s="2" t="n">
        <v>46061</v>
      </c>
      <c r="I41">
        <f>IF(G41="","",TODAY()-G41)</f>
        <v/>
      </c>
      <c r="J41" t="inlineStr">
        <is>
          <t>Open</t>
        </is>
      </c>
      <c r="K41" t="inlineStr">
        <is>
          <t>Inspected by N. Davis</t>
        </is>
      </c>
    </row>
    <row r="42">
      <c r="A42" t="inlineStr">
        <is>
          <t>PL-041</t>
        </is>
      </c>
      <c r="B42" t="inlineStr">
        <is>
          <t>Roof</t>
        </is>
      </c>
      <c r="C42" t="inlineStr">
        <is>
          <t>General</t>
        </is>
      </c>
      <c r="D42" t="inlineStr">
        <is>
          <t>Rainwater downspout extension missing</t>
        </is>
      </c>
      <c r="E42" t="inlineStr">
        <is>
          <t>Medium</t>
        </is>
      </c>
      <c r="F42" t="inlineStr">
        <is>
          <t>K. Johnson</t>
        </is>
      </c>
      <c r="G42" s="2" t="n">
        <v>46146</v>
      </c>
      <c r="H42" s="2" t="n">
        <v>46153</v>
      </c>
      <c r="I42">
        <f>IF(G42="","",TODAY()-G42)</f>
        <v/>
      </c>
      <c r="J42" t="inlineStr">
        <is>
          <t>Ready for Review</t>
        </is>
      </c>
      <c r="K42" t="inlineStr"/>
    </row>
    <row r="43">
      <c r="A43" t="inlineStr">
        <is>
          <t>PL-042</t>
        </is>
      </c>
      <c r="B43" t="inlineStr">
        <is>
          <t>Suite</t>
        </is>
      </c>
      <c r="C43" t="inlineStr">
        <is>
          <t>Steel</t>
        </is>
      </c>
      <c r="D43" t="inlineStr">
        <is>
          <t>Sprinkler head paint overspray — clean</t>
        </is>
      </c>
      <c r="E43" t="inlineStr">
        <is>
          <t>Critical</t>
        </is>
      </c>
      <c r="F43" t="inlineStr">
        <is>
          <t>D. Williams</t>
        </is>
      </c>
      <c r="G43" s="2" t="n">
        <v>46137</v>
      </c>
      <c r="H43" s="2" t="n">
        <v>46149</v>
      </c>
      <c r="I43">
        <f>IF(G43="","",TODAY()-G43)</f>
        <v/>
      </c>
      <c r="J43" t="inlineStr">
        <is>
          <t>Open</t>
        </is>
      </c>
      <c r="K43" t="inlineStr">
        <is>
          <t>Inspected by A. Kim</t>
        </is>
      </c>
    </row>
    <row r="44">
      <c r="A44" t="inlineStr">
        <is>
          <t>PL-043</t>
        </is>
      </c>
      <c r="B44" t="inlineStr">
        <is>
          <t>Concourse</t>
        </is>
      </c>
      <c r="C44" t="inlineStr">
        <is>
          <t>Carpentry</t>
        </is>
      </c>
      <c r="D44" t="inlineStr">
        <is>
          <t>Door closer speed set too fast</t>
        </is>
      </c>
      <c r="E44" t="inlineStr">
        <is>
          <t>Low</t>
        </is>
      </c>
      <c r="F44" t="inlineStr">
        <is>
          <t>M. Patel</t>
        </is>
      </c>
      <c r="G44" s="2" t="n">
        <v>46073</v>
      </c>
      <c r="H44" s="2" t="n">
        <v>46102</v>
      </c>
      <c r="I44">
        <f>IF(G44="","",TODAY()-G44)</f>
        <v/>
      </c>
      <c r="J44" t="inlineStr">
        <is>
          <t>Rejected</t>
        </is>
      </c>
      <c r="K44" t="inlineStr"/>
    </row>
    <row r="45">
      <c r="A45" t="inlineStr">
        <is>
          <t>PL-044</t>
        </is>
      </c>
      <c r="B45" t="inlineStr">
        <is>
          <t>Suite</t>
        </is>
      </c>
      <c r="C45" t="inlineStr">
        <is>
          <t>Concrete</t>
        </is>
      </c>
      <c r="D45" t="inlineStr">
        <is>
          <t>Toilet flange not secured to floor</t>
        </is>
      </c>
      <c r="E45" t="inlineStr">
        <is>
          <t>High</t>
        </is>
      </c>
      <c r="F45" t="inlineStr">
        <is>
          <t>J. Garcia</t>
        </is>
      </c>
      <c r="G45" s="2" t="n">
        <v>46070</v>
      </c>
      <c r="H45" s="2" t="n">
        <v>46088</v>
      </c>
      <c r="I45">
        <f>IF(G45="","",TODAY()-G45)</f>
        <v/>
      </c>
      <c r="J45" t="inlineStr">
        <is>
          <t>Open</t>
        </is>
      </c>
      <c r="K45" t="inlineStr"/>
    </row>
    <row r="46">
      <c r="A46" t="inlineStr">
        <is>
          <t>PL-045</t>
        </is>
      </c>
      <c r="B46" t="inlineStr">
        <is>
          <t>Field</t>
        </is>
      </c>
      <c r="C46" t="inlineStr">
        <is>
          <t>Plumbing</t>
        </is>
      </c>
      <c r="D46" t="inlineStr">
        <is>
          <t>Window seal gap — apply silicone</t>
        </is>
      </c>
      <c r="E46" t="inlineStr">
        <is>
          <t>High</t>
        </is>
      </c>
      <c r="F46" t="inlineStr">
        <is>
          <t>N. Davis</t>
        </is>
      </c>
      <c r="G46" s="2" t="n">
        <v>46122</v>
      </c>
      <c r="H46" s="2" t="n">
        <v>46144</v>
      </c>
      <c r="I46">
        <f>IF(G46="","",TODAY()-G46)</f>
        <v/>
      </c>
      <c r="J46" t="inlineStr">
        <is>
          <t>Closed</t>
        </is>
      </c>
      <c r="K46" t="inlineStr"/>
    </row>
    <row r="47">
      <c r="A47" t="inlineStr">
        <is>
          <t>PL-046</t>
        </is>
      </c>
      <c r="B47" t="inlineStr">
        <is>
          <t>Lobby</t>
        </is>
      </c>
      <c r="C47" t="inlineStr">
        <is>
          <t>Glass/Glazing</t>
        </is>
      </c>
      <c r="D47" t="inlineStr">
        <is>
          <t>Baseboard gap exceeds 1/8" at joint</t>
        </is>
      </c>
      <c r="E47" t="inlineStr">
        <is>
          <t>Low</t>
        </is>
      </c>
      <c r="F47" t="inlineStr">
        <is>
          <t>L. Chen</t>
        </is>
      </c>
      <c r="G47" s="2" t="n">
        <v>46084</v>
      </c>
      <c r="H47" s="2" t="n">
        <v>46105</v>
      </c>
      <c r="I47">
        <f>IF(G47="","",TODAY()-G47)</f>
        <v/>
      </c>
      <c r="J47" t="inlineStr">
        <is>
          <t>Closed</t>
        </is>
      </c>
      <c r="K47" t="inlineStr"/>
    </row>
    <row r="48">
      <c r="A48" t="inlineStr">
        <is>
          <t>PL-047</t>
        </is>
      </c>
      <c r="B48" t="inlineStr">
        <is>
          <t>Suite</t>
        </is>
      </c>
      <c r="C48" t="inlineStr">
        <is>
          <t>MEP</t>
        </is>
      </c>
      <c r="D48" t="inlineStr">
        <is>
          <t>Handrail bracket loose on stairway</t>
        </is>
      </c>
      <c r="E48" t="inlineStr">
        <is>
          <t>Medium</t>
        </is>
      </c>
      <c r="F48" t="inlineStr">
        <is>
          <t>A. Kim</t>
        </is>
      </c>
      <c r="G48" s="2" t="n">
        <v>46058</v>
      </c>
      <c r="H48" s="2" t="n">
        <v>46080</v>
      </c>
      <c r="I48">
        <f>IF(G48="","",TODAY()-G48)</f>
        <v/>
      </c>
      <c r="J48" t="inlineStr">
        <is>
          <t>In Progress</t>
        </is>
      </c>
      <c r="K48" t="inlineStr"/>
    </row>
    <row r="49">
      <c r="A49" t="inlineStr">
        <is>
          <t>PL-048</t>
        </is>
      </c>
      <c r="B49" t="inlineStr">
        <is>
          <t>Field</t>
        </is>
      </c>
      <c r="C49" t="inlineStr">
        <is>
          <t>Carpentry</t>
        </is>
      </c>
      <c r="D49" t="inlineStr">
        <is>
          <t>Thermostat not communicating with BMS</t>
        </is>
      </c>
      <c r="E49" t="inlineStr">
        <is>
          <t>Low</t>
        </is>
      </c>
      <c r="F49" t="inlineStr">
        <is>
          <t>K. Johnson</t>
        </is>
      </c>
      <c r="G49" s="2" t="n">
        <v>46139</v>
      </c>
      <c r="H49" s="2" t="n">
        <v>46167</v>
      </c>
      <c r="I49">
        <f>IF(G49="","",TODAY()-G49)</f>
        <v/>
      </c>
      <c r="J49" t="inlineStr">
        <is>
          <t>Rejected</t>
        </is>
      </c>
      <c r="K49" t="inlineStr"/>
    </row>
    <row r="50">
      <c r="A50" t="inlineStr">
        <is>
          <t>PL-049</t>
        </is>
      </c>
      <c r="B50" t="inlineStr">
        <is>
          <t>Roof</t>
        </is>
      </c>
      <c r="C50" t="inlineStr">
        <is>
          <t>Finish</t>
        </is>
      </c>
      <c r="D50" t="inlineStr">
        <is>
          <t>Ceiling tile stained — replace</t>
        </is>
      </c>
      <c r="E50" t="inlineStr">
        <is>
          <t>Low</t>
        </is>
      </c>
      <c r="F50" t="inlineStr">
        <is>
          <t>M. Patel</t>
        </is>
      </c>
      <c r="G50" s="2" t="n">
        <v>46060</v>
      </c>
      <c r="H50" s="2" t="n">
        <v>46082</v>
      </c>
      <c r="I50">
        <f>IF(G50="","",TODAY()-G50)</f>
        <v/>
      </c>
      <c r="J50" t="inlineStr">
        <is>
          <t>Ready for Review</t>
        </is>
      </c>
      <c r="K50" t="inlineStr">
        <is>
          <t>Inspected by J. Garcia</t>
        </is>
      </c>
    </row>
    <row r="51">
      <c r="A51" t="inlineStr">
        <is>
          <t>PL-050</t>
        </is>
      </c>
      <c r="B51" t="inlineStr">
        <is>
          <t>Roof</t>
        </is>
      </c>
      <c r="C51" t="inlineStr">
        <is>
          <t>General</t>
        </is>
      </c>
      <c r="D51" t="inlineStr">
        <is>
          <t>Toilet flange not secured to floor</t>
        </is>
      </c>
      <c r="E51" t="inlineStr">
        <is>
          <t>Low</t>
        </is>
      </c>
      <c r="F51" t="inlineStr">
        <is>
          <t>S. Rodriguez</t>
        </is>
      </c>
      <c r="G51" s="2" t="n">
        <v>46090</v>
      </c>
      <c r="H51" s="2" t="n">
        <v>46119</v>
      </c>
      <c r="I51">
        <f>IF(G51="","",TODAY()-G51)</f>
        <v/>
      </c>
      <c r="J51" t="inlineStr">
        <is>
          <t>Closed</t>
        </is>
      </c>
      <c r="K51" t="inlineStr"/>
    </row>
    <row r="52">
      <c r="A52" t="inlineStr">
        <is>
          <t>PL-051</t>
        </is>
      </c>
      <c r="B52" t="inlineStr">
        <is>
          <t>Storage</t>
        </is>
      </c>
      <c r="C52" t="inlineStr">
        <is>
          <t>Flooring</t>
        </is>
      </c>
      <c r="D52" t="inlineStr">
        <is>
          <t>Mirror damaged in west restroom</t>
        </is>
      </c>
      <c r="E52" t="inlineStr">
        <is>
          <t>Critical</t>
        </is>
      </c>
      <c r="F52" t="inlineStr">
        <is>
          <t>T. Brown</t>
        </is>
      </c>
      <c r="G52" s="2" t="n">
        <v>46173</v>
      </c>
      <c r="H52" s="2" t="n">
        <v>46195</v>
      </c>
      <c r="I52">
        <f>IF(G52="","",TODAY()-G52)</f>
        <v/>
      </c>
      <c r="J52" t="inlineStr">
        <is>
          <t>Open</t>
        </is>
      </c>
      <c r="K52" t="inlineStr"/>
    </row>
    <row r="53">
      <c r="A53" t="inlineStr">
        <is>
          <t>PL-052</t>
        </is>
      </c>
      <c r="B53" t="inlineStr">
        <is>
          <t>Exterior</t>
        </is>
      </c>
      <c r="C53" t="inlineStr">
        <is>
          <t>MEP</t>
        </is>
      </c>
      <c r="D53" t="inlineStr">
        <is>
          <t>Missing fire caulking at pipe penetration</t>
        </is>
      </c>
      <c r="E53" t="inlineStr">
        <is>
          <t>Medium</t>
        </is>
      </c>
      <c r="F53" t="inlineStr">
        <is>
          <t>K. Johnson</t>
        </is>
      </c>
      <c r="G53" s="2" t="n">
        <v>46117</v>
      </c>
      <c r="H53" s="2" t="n">
        <v>46136</v>
      </c>
      <c r="I53">
        <f>IF(G53="","",TODAY()-G53)</f>
        <v/>
      </c>
      <c r="J53" t="inlineStr">
        <is>
          <t>In Progress</t>
        </is>
      </c>
      <c r="K53" t="inlineStr"/>
    </row>
    <row r="54">
      <c r="A54" t="inlineStr">
        <is>
          <t>PL-053</t>
        </is>
      </c>
      <c r="B54" t="inlineStr">
        <is>
          <t>Suite</t>
        </is>
      </c>
      <c r="C54" t="inlineStr">
        <is>
          <t>Electrical</t>
        </is>
      </c>
      <c r="D54" t="inlineStr">
        <is>
          <t>Roof membrane patched — verify watertight</t>
        </is>
      </c>
      <c r="E54" t="inlineStr">
        <is>
          <t>Critical</t>
        </is>
      </c>
      <c r="F54" t="inlineStr">
        <is>
          <t>N. Davis</t>
        </is>
      </c>
      <c r="G54" s="2" t="n">
        <v>46153</v>
      </c>
      <c r="H54" s="2" t="n">
        <v>46162</v>
      </c>
      <c r="I54">
        <f>IF(G54="","",TODAY()-G54)</f>
        <v/>
      </c>
      <c r="J54" t="inlineStr">
        <is>
          <t>Closed</t>
        </is>
      </c>
      <c r="K54" t="inlineStr"/>
    </row>
    <row r="55">
      <c r="A55" t="inlineStr">
        <is>
          <t>PL-054</t>
        </is>
      </c>
      <c r="B55" t="inlineStr">
        <is>
          <t>Stairwell</t>
        </is>
      </c>
      <c r="C55" t="inlineStr">
        <is>
          <t>Steel</t>
        </is>
      </c>
      <c r="D55" t="inlineStr">
        <is>
          <t>Crack in concrete slab near column B-12</t>
        </is>
      </c>
      <c r="E55" t="inlineStr">
        <is>
          <t>Critical</t>
        </is>
      </c>
      <c r="F55" t="inlineStr">
        <is>
          <t>K. Johnson</t>
        </is>
      </c>
      <c r="G55" s="2" t="n">
        <v>46134</v>
      </c>
      <c r="H55" s="2" t="n">
        <v>46155</v>
      </c>
      <c r="I55">
        <f>IF(G55="","",TODAY()-G55)</f>
        <v/>
      </c>
      <c r="J55" t="inlineStr">
        <is>
          <t>In Progress</t>
        </is>
      </c>
      <c r="K55" t="inlineStr">
        <is>
          <t>Inspected by T. Brown</t>
        </is>
      </c>
    </row>
    <row r="56">
      <c r="A56" t="inlineStr">
        <is>
          <t>PL-055</t>
        </is>
      </c>
      <c r="B56" t="inlineStr">
        <is>
          <t>Stairwell</t>
        </is>
      </c>
      <c r="C56" t="inlineStr">
        <is>
          <t>Finish</t>
        </is>
      </c>
      <c r="D56" t="inlineStr">
        <is>
          <t>HVAC duct insulation gap at return plenum</t>
        </is>
      </c>
      <c r="E56" t="inlineStr">
        <is>
          <t>Critical</t>
        </is>
      </c>
      <c r="F56" t="inlineStr">
        <is>
          <t>N. Davis</t>
        </is>
      </c>
      <c r="G56" s="2" t="n">
        <v>46137</v>
      </c>
      <c r="H56" s="2" t="n">
        <v>46147</v>
      </c>
      <c r="I56">
        <f>IF(G56="","",TODAY()-G56)</f>
        <v/>
      </c>
      <c r="J56" t="inlineStr">
        <is>
          <t>Open</t>
        </is>
      </c>
      <c r="K56" t="inlineStr">
        <is>
          <t>Inspected by K. Johnson</t>
        </is>
      </c>
    </row>
    <row r="57">
      <c r="A57" t="inlineStr">
        <is>
          <t>PL-056</t>
        </is>
      </c>
      <c r="B57" t="inlineStr">
        <is>
          <t>Field</t>
        </is>
      </c>
      <c r="C57" t="inlineStr">
        <is>
          <t>Flooring</t>
        </is>
      </c>
      <c r="D57" t="inlineStr">
        <is>
          <t>Mirror damaged in west restroom</t>
        </is>
      </c>
      <c r="E57" t="inlineStr">
        <is>
          <t>High</t>
        </is>
      </c>
      <c r="F57" t="inlineStr">
        <is>
          <t>A. Kim</t>
        </is>
      </c>
      <c r="G57" s="2" t="n">
        <v>46126</v>
      </c>
      <c r="H57" s="2" t="n">
        <v>46144</v>
      </c>
      <c r="I57">
        <f>IF(G57="","",TODAY()-G57)</f>
        <v/>
      </c>
      <c r="J57" t="inlineStr">
        <is>
          <t>Ready for Review</t>
        </is>
      </c>
      <c r="K57" t="inlineStr">
        <is>
          <t>Inspected by M. Patel</t>
        </is>
      </c>
    </row>
    <row r="58">
      <c r="A58" t="inlineStr">
        <is>
          <t>PL-057</t>
        </is>
      </c>
      <c r="B58" t="inlineStr">
        <is>
          <t>Storage</t>
        </is>
      </c>
      <c r="C58" t="inlineStr">
        <is>
          <t>HVAC</t>
        </is>
      </c>
      <c r="D58" t="inlineStr">
        <is>
          <t>Door closer speed set too fast</t>
        </is>
      </c>
      <c r="E58" t="inlineStr">
        <is>
          <t>Low</t>
        </is>
      </c>
      <c r="F58" t="inlineStr">
        <is>
          <t>N. Davis</t>
        </is>
      </c>
      <c r="G58" s="2" t="n">
        <v>46040</v>
      </c>
      <c r="H58" s="2" t="n">
        <v>46061</v>
      </c>
      <c r="I58">
        <f>IF(G58="","",TODAY()-G58)</f>
        <v/>
      </c>
      <c r="J58" t="inlineStr">
        <is>
          <t>Closed</t>
        </is>
      </c>
      <c r="K58" t="inlineStr"/>
    </row>
    <row r="59">
      <c r="A59" t="inlineStr">
        <is>
          <t>PL-058</t>
        </is>
      </c>
      <c r="B59" t="inlineStr">
        <is>
          <t>Stairwell</t>
        </is>
      </c>
      <c r="C59" t="inlineStr">
        <is>
          <t>HVAC</t>
        </is>
      </c>
      <c r="D59" t="inlineStr">
        <is>
          <t>Door closer speed set too fast</t>
        </is>
      </c>
      <c r="E59" t="inlineStr">
        <is>
          <t>Low</t>
        </is>
      </c>
      <c r="F59" t="inlineStr">
        <is>
          <t>J. Garcia</t>
        </is>
      </c>
      <c r="G59" s="2" t="n">
        <v>46078</v>
      </c>
      <c r="H59" s="2" t="n">
        <v>46098</v>
      </c>
      <c r="I59">
        <f>IF(G59="","",TODAY()-G59)</f>
        <v/>
      </c>
      <c r="J59" t="inlineStr">
        <is>
          <t>Closed</t>
        </is>
      </c>
      <c r="K59" t="inlineStr"/>
    </row>
    <row r="60">
      <c r="A60" t="inlineStr">
        <is>
          <t>PL-059</t>
        </is>
      </c>
      <c r="B60" t="inlineStr">
        <is>
          <t>Field</t>
        </is>
      </c>
      <c r="C60" t="inlineStr">
        <is>
          <t>Plumbing</t>
        </is>
      </c>
      <c r="D60" t="inlineStr">
        <is>
          <t>EMT conduit support clamp missing</t>
        </is>
      </c>
      <c r="E60" t="inlineStr">
        <is>
          <t>Low</t>
        </is>
      </c>
      <c r="F60" t="inlineStr">
        <is>
          <t>L. Chen</t>
        </is>
      </c>
      <c r="G60" s="2" t="n">
        <v>46127</v>
      </c>
      <c r="H60" s="2" t="n">
        <v>46140</v>
      </c>
      <c r="I60">
        <f>IF(G60="","",TODAY()-G60)</f>
        <v/>
      </c>
      <c r="J60" t="inlineStr">
        <is>
          <t>In Progress</t>
        </is>
      </c>
      <c r="K60" t="inlineStr"/>
    </row>
    <row r="61">
      <c r="A61" t="inlineStr">
        <is>
          <t>PL-060</t>
        </is>
      </c>
      <c r="B61" t="inlineStr">
        <is>
          <t>Storage</t>
        </is>
      </c>
      <c r="C61" t="inlineStr">
        <is>
          <t>Finish</t>
        </is>
      </c>
      <c r="D61" t="inlineStr">
        <is>
          <t>Light fixture not aligned with grid</t>
        </is>
      </c>
      <c r="E61" t="inlineStr">
        <is>
          <t>Medium</t>
        </is>
      </c>
      <c r="F61" t="inlineStr">
        <is>
          <t>A. Kim</t>
        </is>
      </c>
      <c r="G61" s="2" t="n">
        <v>46160</v>
      </c>
      <c r="H61" s="2" t="n">
        <v>46175</v>
      </c>
      <c r="I61">
        <f>IF(G61="","",TODAY()-G61)</f>
        <v/>
      </c>
      <c r="J61" t="inlineStr">
        <is>
          <t>In Progress</t>
        </is>
      </c>
      <c r="K61" t="inlineStr"/>
    </row>
    <row r="62">
      <c r="A62" t="inlineStr">
        <is>
          <t>PL-061</t>
        </is>
      </c>
      <c r="B62" t="inlineStr">
        <is>
          <t>Restroom</t>
        </is>
      </c>
      <c r="C62" t="inlineStr">
        <is>
          <t>HVAC</t>
        </is>
      </c>
      <c r="D62" t="inlineStr">
        <is>
          <t>Thermostat not communicating with BMS</t>
        </is>
      </c>
      <c r="E62" t="inlineStr">
        <is>
          <t>Critical</t>
        </is>
      </c>
      <c r="F62" t="inlineStr">
        <is>
          <t>D. Williams</t>
        </is>
      </c>
      <c r="G62" s="2" t="n">
        <v>46040</v>
      </c>
      <c r="H62" s="2" t="n">
        <v>46047</v>
      </c>
      <c r="I62">
        <f>IF(G62="","",TODAY()-G62)</f>
        <v/>
      </c>
      <c r="J62" t="inlineStr">
        <is>
          <t>Rejected</t>
        </is>
      </c>
      <c r="K62" t="inlineStr"/>
    </row>
    <row r="63">
      <c r="A63" t="inlineStr">
        <is>
          <t>PL-062</t>
        </is>
      </c>
      <c r="B63" t="inlineStr">
        <is>
          <t>Roof</t>
        </is>
      </c>
      <c r="C63" t="inlineStr">
        <is>
          <t>Plumbing</t>
        </is>
      </c>
      <c r="D63" t="inlineStr">
        <is>
          <t>Expansion joint cover loose</t>
        </is>
      </c>
      <c r="E63" t="inlineStr">
        <is>
          <t>Critical</t>
        </is>
      </c>
      <c r="F63" t="inlineStr">
        <is>
          <t>A. Kim</t>
        </is>
      </c>
      <c r="G63" s="2" t="n">
        <v>46160</v>
      </c>
      <c r="H63" s="2" t="n">
        <v>46167</v>
      </c>
      <c r="I63">
        <f>IF(G63="","",TODAY()-G63)</f>
        <v/>
      </c>
      <c r="J63" t="inlineStr">
        <is>
          <t>In Progress</t>
        </is>
      </c>
      <c r="K63" t="inlineStr">
        <is>
          <t>Inspected by T. Brown</t>
        </is>
      </c>
    </row>
    <row r="64">
      <c r="A64" t="inlineStr">
        <is>
          <t>PL-063</t>
        </is>
      </c>
      <c r="B64" t="inlineStr">
        <is>
          <t>Roof</t>
        </is>
      </c>
      <c r="C64" t="inlineStr">
        <is>
          <t>MEP</t>
        </is>
      </c>
      <c r="D64" t="inlineStr">
        <is>
          <t>Ceiling tile stained — replace</t>
        </is>
      </c>
      <c r="E64" t="inlineStr">
        <is>
          <t>High</t>
        </is>
      </c>
      <c r="F64" t="inlineStr">
        <is>
          <t>A. Kim</t>
        </is>
      </c>
      <c r="G64" s="2" t="n">
        <v>46144</v>
      </c>
      <c r="H64" s="2" t="n">
        <v>46152</v>
      </c>
      <c r="I64">
        <f>IF(G64="","",TODAY()-G64)</f>
        <v/>
      </c>
      <c r="J64" t="inlineStr">
        <is>
          <t>Ready for Review</t>
        </is>
      </c>
      <c r="K64" t="inlineStr">
        <is>
          <t>Inspected by K. Johnson</t>
        </is>
      </c>
    </row>
    <row r="65">
      <c r="A65" t="inlineStr">
        <is>
          <t>PL-064</t>
        </is>
      </c>
      <c r="B65" t="inlineStr">
        <is>
          <t>Storage</t>
        </is>
      </c>
      <c r="C65" t="inlineStr">
        <is>
          <t>Finish</t>
        </is>
      </c>
      <c r="D65" t="inlineStr">
        <is>
          <t>Baseboard gap exceeds 1/8" at joint</t>
        </is>
      </c>
      <c r="E65" t="inlineStr">
        <is>
          <t>Low</t>
        </is>
      </c>
      <c r="F65" t="inlineStr">
        <is>
          <t>J. Garcia</t>
        </is>
      </c>
      <c r="G65" s="2" t="n">
        <v>46123</v>
      </c>
      <c r="H65" s="2" t="n">
        <v>46153</v>
      </c>
      <c r="I65">
        <f>IF(G65="","",TODAY()-G65)</f>
        <v/>
      </c>
      <c r="J65" t="inlineStr">
        <is>
          <t>Closed</t>
        </is>
      </c>
      <c r="K65" t="inlineStr"/>
    </row>
    <row r="66">
      <c r="A66" t="inlineStr">
        <is>
          <t>PL-065</t>
        </is>
      </c>
      <c r="B66" t="inlineStr">
        <is>
          <t>Restroom</t>
        </is>
      </c>
      <c r="C66" t="inlineStr">
        <is>
          <t>Glass/Glazing</t>
        </is>
      </c>
      <c r="D66" t="inlineStr">
        <is>
          <t>Window seal gap — apply silicone</t>
        </is>
      </c>
      <c r="E66" t="inlineStr">
        <is>
          <t>High</t>
        </is>
      </c>
      <c r="F66" t="inlineStr">
        <is>
          <t>T. Brown</t>
        </is>
      </c>
      <c r="G66" s="2" t="n">
        <v>46093</v>
      </c>
      <c r="H66" s="2" t="n">
        <v>46114</v>
      </c>
      <c r="I66">
        <f>IF(G66="","",TODAY()-G66)</f>
        <v/>
      </c>
      <c r="J66" t="inlineStr">
        <is>
          <t>Open</t>
        </is>
      </c>
      <c r="K66" t="inlineStr"/>
    </row>
    <row r="67">
      <c r="A67" t="inlineStr">
        <is>
          <t>PL-066</t>
        </is>
      </c>
      <c r="B67" t="inlineStr">
        <is>
          <t>Concourse</t>
        </is>
      </c>
      <c r="C67" t="inlineStr">
        <is>
          <t>Carpentry</t>
        </is>
      </c>
      <c r="D67" t="inlineStr">
        <is>
          <t>Light fixture not aligned with grid</t>
        </is>
      </c>
      <c r="E67" t="inlineStr">
        <is>
          <t>Critical</t>
        </is>
      </c>
      <c r="F67" t="inlineStr">
        <is>
          <t>M. Patel</t>
        </is>
      </c>
      <c r="G67" s="2" t="n">
        <v>46139</v>
      </c>
      <c r="H67" s="2" t="n">
        <v>46149</v>
      </c>
      <c r="I67">
        <f>IF(G67="","",TODAY()-G67)</f>
        <v/>
      </c>
      <c r="J67" t="inlineStr">
        <is>
          <t>Closed</t>
        </is>
      </c>
      <c r="K67" t="inlineStr">
        <is>
          <t>Inspected by M. Patel</t>
        </is>
      </c>
    </row>
    <row r="68">
      <c r="A68" t="inlineStr">
        <is>
          <t>PL-067</t>
        </is>
      </c>
      <c r="B68" t="inlineStr">
        <is>
          <t>MEP Room</t>
        </is>
      </c>
      <c r="C68" t="inlineStr">
        <is>
          <t>Finish</t>
        </is>
      </c>
      <c r="D68" t="inlineStr">
        <is>
          <t>Crack in concrete slab near column B-12</t>
        </is>
      </c>
      <c r="E68" t="inlineStr">
        <is>
          <t>Critical</t>
        </is>
      </c>
      <c r="F68" t="inlineStr">
        <is>
          <t>J. Garcia</t>
        </is>
      </c>
      <c r="G68" s="2" t="n">
        <v>46040</v>
      </c>
      <c r="H68" s="2" t="n">
        <v>46051</v>
      </c>
      <c r="I68">
        <f>IF(G68="","",TODAY()-G68)</f>
        <v/>
      </c>
      <c r="J68" t="inlineStr">
        <is>
          <t>Closed</t>
        </is>
      </c>
      <c r="K68" t="inlineStr"/>
    </row>
    <row r="69">
      <c r="A69" t="inlineStr">
        <is>
          <t>PL-068</t>
        </is>
      </c>
      <c r="B69" t="inlineStr">
        <is>
          <t>Field</t>
        </is>
      </c>
      <c r="C69" t="inlineStr">
        <is>
          <t>General</t>
        </is>
      </c>
      <c r="D69" t="inlineStr">
        <is>
          <t>Floor tile cracked — replace 12×12 section</t>
        </is>
      </c>
      <c r="E69" t="inlineStr">
        <is>
          <t>Medium</t>
        </is>
      </c>
      <c r="F69" t="inlineStr">
        <is>
          <t>D. Williams</t>
        </is>
      </c>
      <c r="G69" s="2" t="n">
        <v>46047</v>
      </c>
      <c r="H69" s="2" t="n">
        <v>46058</v>
      </c>
      <c r="I69">
        <f>IF(G69="","",TODAY()-G69)</f>
        <v/>
      </c>
      <c r="J69" t="inlineStr">
        <is>
          <t>Closed</t>
        </is>
      </c>
      <c r="K69" t="inlineStr">
        <is>
          <t>Inspected by J. Garcia</t>
        </is>
      </c>
    </row>
    <row r="70">
      <c r="A70" t="inlineStr">
        <is>
          <t>PL-069</t>
        </is>
      </c>
      <c r="B70" t="inlineStr">
        <is>
          <t>Storage</t>
        </is>
      </c>
      <c r="C70" t="inlineStr">
        <is>
          <t>Electrical</t>
        </is>
      </c>
      <c r="D70" t="inlineStr">
        <is>
          <t>Mirror damaged in west restroom</t>
        </is>
      </c>
      <c r="E70" t="inlineStr">
        <is>
          <t>Medium</t>
        </is>
      </c>
      <c r="F70" t="inlineStr">
        <is>
          <t>K. Johnson</t>
        </is>
      </c>
      <c r="G70" s="2" t="n">
        <v>46051</v>
      </c>
      <c r="H70" s="2" t="n">
        <v>46079</v>
      </c>
      <c r="I70">
        <f>IF(G70="","",TODAY()-G70)</f>
        <v/>
      </c>
      <c r="J70" t="inlineStr">
        <is>
          <t>Closed</t>
        </is>
      </c>
      <c r="K70" t="inlineStr">
        <is>
          <t>Inspected by T. Brown</t>
        </is>
      </c>
    </row>
    <row r="71">
      <c r="A71" t="inlineStr">
        <is>
          <t>PL-070</t>
        </is>
      </c>
      <c r="B71" t="inlineStr">
        <is>
          <t>Lobby</t>
        </is>
      </c>
      <c r="C71" t="inlineStr">
        <is>
          <t>MEP</t>
        </is>
      </c>
      <c r="D71" t="inlineStr">
        <is>
          <t>Missing fire caulking at pipe penetration</t>
        </is>
      </c>
      <c r="E71" t="inlineStr">
        <is>
          <t>High</t>
        </is>
      </c>
      <c r="F71" t="inlineStr">
        <is>
          <t>A. Kim</t>
        </is>
      </c>
      <c r="G71" s="2" t="n">
        <v>46124</v>
      </c>
      <c r="H71" s="2" t="n">
        <v>46132</v>
      </c>
      <c r="I71">
        <f>IF(G71="","",TODAY()-G71)</f>
        <v/>
      </c>
      <c r="J71" t="inlineStr">
        <is>
          <t>Open</t>
        </is>
      </c>
      <c r="K71" t="inlineStr"/>
    </row>
    <row r="72">
      <c r="A72" t="inlineStr">
        <is>
          <t>PL-071</t>
        </is>
      </c>
      <c r="B72" t="inlineStr">
        <is>
          <t>Roof</t>
        </is>
      </c>
      <c r="C72" t="inlineStr">
        <is>
          <t>Steel</t>
        </is>
      </c>
      <c r="D72" t="inlineStr">
        <is>
          <t>GFCI outlet missing cover plate</t>
        </is>
      </c>
      <c r="E72" t="inlineStr">
        <is>
          <t>Low</t>
        </is>
      </c>
      <c r="F72" t="inlineStr">
        <is>
          <t>T. Brown</t>
        </is>
      </c>
      <c r="G72" s="2" t="n">
        <v>46179</v>
      </c>
      <c r="H72" s="2" t="n">
        <v>46205</v>
      </c>
      <c r="I72">
        <f>IF(G72="","",TODAY()-G72)</f>
        <v/>
      </c>
      <c r="J72" t="inlineStr">
        <is>
          <t>Open</t>
        </is>
      </c>
      <c r="K72" t="inlineStr">
        <is>
          <t>Inspected by D. Williams</t>
        </is>
      </c>
    </row>
    <row r="73">
      <c r="A73" t="inlineStr">
        <is>
          <t>PL-072</t>
        </is>
      </c>
      <c r="B73" t="inlineStr">
        <is>
          <t>Stairwell</t>
        </is>
      </c>
      <c r="C73" t="inlineStr">
        <is>
          <t>Carpentry</t>
        </is>
      </c>
      <c r="D73" t="inlineStr">
        <is>
          <t>Toilet flange not secured to floor</t>
        </is>
      </c>
      <c r="E73" t="inlineStr">
        <is>
          <t>Low</t>
        </is>
      </c>
      <c r="F73" t="inlineStr">
        <is>
          <t>D. Williams</t>
        </is>
      </c>
      <c r="G73" s="2" t="n">
        <v>46175</v>
      </c>
      <c r="H73" s="2" t="n">
        <v>46192</v>
      </c>
      <c r="I73">
        <f>IF(G73="","",TODAY()-G73)</f>
        <v/>
      </c>
      <c r="J73" t="inlineStr">
        <is>
          <t>Open</t>
        </is>
      </c>
      <c r="K73" t="inlineStr"/>
    </row>
    <row r="74">
      <c r="A74" t="inlineStr">
        <is>
          <t>PL-073</t>
        </is>
      </c>
      <c r="B74" t="inlineStr">
        <is>
          <t>Stairwell</t>
        </is>
      </c>
      <c r="C74" t="inlineStr">
        <is>
          <t>General</t>
        </is>
      </c>
      <c r="D74" t="inlineStr">
        <is>
          <t>Ceiling tile stained — replace</t>
        </is>
      </c>
      <c r="E74" t="inlineStr">
        <is>
          <t>Medium</t>
        </is>
      </c>
      <c r="F74" t="inlineStr">
        <is>
          <t>J. Garcia</t>
        </is>
      </c>
      <c r="G74" s="2" t="n">
        <v>46140</v>
      </c>
      <c r="H74" s="2" t="n">
        <v>46156</v>
      </c>
      <c r="I74">
        <f>IF(G74="","",TODAY()-G74)</f>
        <v/>
      </c>
      <c r="J74" t="inlineStr">
        <is>
          <t>Rejected</t>
        </is>
      </c>
      <c r="K74" t="inlineStr"/>
    </row>
    <row r="75">
      <c r="A75" t="inlineStr">
        <is>
          <t>PL-074</t>
        </is>
      </c>
      <c r="B75" t="inlineStr">
        <is>
          <t>Exterior</t>
        </is>
      </c>
      <c r="C75" t="inlineStr">
        <is>
          <t>Finish</t>
        </is>
      </c>
      <c r="D75" t="inlineStr">
        <is>
          <t>Light fixture not aligned with grid</t>
        </is>
      </c>
      <c r="E75" t="inlineStr">
        <is>
          <t>Critical</t>
        </is>
      </c>
      <c r="F75" t="inlineStr">
        <is>
          <t>K. Johnson</t>
        </is>
      </c>
      <c r="G75" s="2" t="n">
        <v>46177</v>
      </c>
      <c r="H75" s="2" t="n">
        <v>46202</v>
      </c>
      <c r="I75">
        <f>IF(G75="","",TODAY()-G75)</f>
        <v/>
      </c>
      <c r="J75" t="inlineStr">
        <is>
          <t>Open</t>
        </is>
      </c>
      <c r="K75" t="inlineStr"/>
    </row>
    <row r="76">
      <c r="A76" t="inlineStr">
        <is>
          <t>PL-075</t>
        </is>
      </c>
      <c r="B76" t="inlineStr">
        <is>
          <t>Concourse</t>
        </is>
      </c>
      <c r="C76" t="inlineStr">
        <is>
          <t>HVAC</t>
        </is>
      </c>
      <c r="D76" t="inlineStr">
        <is>
          <t>Mirror damaged in west restroom</t>
        </is>
      </c>
      <c r="E76" t="inlineStr">
        <is>
          <t>Low</t>
        </is>
      </c>
      <c r="F76" t="inlineStr">
        <is>
          <t>T. Brown</t>
        </is>
      </c>
      <c r="G76" s="2" t="n">
        <v>46146</v>
      </c>
      <c r="H76" s="2" t="n">
        <v>46165</v>
      </c>
      <c r="I76">
        <f>IF(G76="","",TODAY()-G76)</f>
        <v/>
      </c>
      <c r="J76" t="inlineStr">
        <is>
          <t>Rejected</t>
        </is>
      </c>
      <c r="K76" t="inlineStr">
        <is>
          <t>Inspected by R. Thompson</t>
        </is>
      </c>
    </row>
    <row r="77">
      <c r="A77" t="inlineStr">
        <is>
          <t>PL-076</t>
        </is>
      </c>
      <c r="B77" t="inlineStr">
        <is>
          <t>Lobby</t>
        </is>
      </c>
      <c r="C77" t="inlineStr">
        <is>
          <t>Finish</t>
        </is>
      </c>
      <c r="D77" t="inlineStr">
        <is>
          <t>Floor tile cracked — replace 12×12 section</t>
        </is>
      </c>
      <c r="E77" t="inlineStr">
        <is>
          <t>Medium</t>
        </is>
      </c>
      <c r="F77" t="inlineStr">
        <is>
          <t>S. Rodriguez</t>
        </is>
      </c>
      <c r="G77" s="2" t="n">
        <v>46090</v>
      </c>
      <c r="H77" s="2" t="n">
        <v>46115</v>
      </c>
      <c r="I77">
        <f>IF(G77="","",TODAY()-G77)</f>
        <v/>
      </c>
      <c r="J77" t="inlineStr">
        <is>
          <t>In Progress</t>
        </is>
      </c>
      <c r="K77" t="inlineStr"/>
    </row>
    <row r="78">
      <c r="A78" t="inlineStr">
        <is>
          <t>PL-077</t>
        </is>
      </c>
      <c r="B78" t="inlineStr">
        <is>
          <t>Lobby</t>
        </is>
      </c>
      <c r="C78" t="inlineStr">
        <is>
          <t>Electrical</t>
        </is>
      </c>
      <c r="D78" t="inlineStr">
        <is>
          <t>Screw pops in drywall — repair and finish</t>
        </is>
      </c>
      <c r="E78" t="inlineStr">
        <is>
          <t>Medium</t>
        </is>
      </c>
      <c r="F78" t="inlineStr">
        <is>
          <t>T. Brown</t>
        </is>
      </c>
      <c r="G78" s="2" t="n">
        <v>46172</v>
      </c>
      <c r="H78" s="2" t="n">
        <v>46189</v>
      </c>
      <c r="I78">
        <f>IF(G78="","",TODAY()-G78)</f>
        <v/>
      </c>
      <c r="J78" t="inlineStr">
        <is>
          <t>Open</t>
        </is>
      </c>
      <c r="K78" t="inlineStr">
        <is>
          <t>Inspected by D. Williams</t>
        </is>
      </c>
    </row>
    <row r="79">
      <c r="A79" t="inlineStr">
        <is>
          <t>PL-078</t>
        </is>
      </c>
      <c r="B79" t="inlineStr">
        <is>
          <t>Exterior</t>
        </is>
      </c>
      <c r="C79" t="inlineStr">
        <is>
          <t>General</t>
        </is>
      </c>
      <c r="D79" t="inlineStr">
        <is>
          <t>Window seal gap — apply silicone</t>
        </is>
      </c>
      <c r="E79" t="inlineStr">
        <is>
          <t>Low</t>
        </is>
      </c>
      <c r="F79" t="inlineStr">
        <is>
          <t>L. Chen</t>
        </is>
      </c>
      <c r="G79" s="2" t="n">
        <v>46121</v>
      </c>
      <c r="H79" s="2" t="n">
        <v>46139</v>
      </c>
      <c r="I79">
        <f>IF(G79="","",TODAY()-G79)</f>
        <v/>
      </c>
      <c r="J79" t="inlineStr">
        <is>
          <t>In Progress</t>
        </is>
      </c>
      <c r="K79" t="inlineStr"/>
    </row>
    <row r="80">
      <c r="A80" t="inlineStr">
        <is>
          <t>PL-079</t>
        </is>
      </c>
      <c r="B80" t="inlineStr">
        <is>
          <t>Field</t>
        </is>
      </c>
      <c r="C80" t="inlineStr">
        <is>
          <t>Millwork</t>
        </is>
      </c>
      <c r="D80" t="inlineStr">
        <is>
          <t>Door frame not plumb — shim and adjust</t>
        </is>
      </c>
      <c r="E80" t="inlineStr">
        <is>
          <t>Critical</t>
        </is>
      </c>
      <c r="F80" t="inlineStr">
        <is>
          <t>N. Davis</t>
        </is>
      </c>
      <c r="G80" s="2" t="n">
        <v>46107</v>
      </c>
      <c r="H80" s="2" t="n">
        <v>46127</v>
      </c>
      <c r="I80">
        <f>IF(G80="","",TODAY()-G80)</f>
        <v/>
      </c>
      <c r="J80" t="inlineStr">
        <is>
          <t>In Progress</t>
        </is>
      </c>
      <c r="K80" t="inlineStr">
        <is>
          <t>Inspected by K. Johnson</t>
        </is>
      </c>
    </row>
    <row r="81">
      <c r="A81" t="inlineStr">
        <is>
          <t>PL-080</t>
        </is>
      </c>
      <c r="B81" t="inlineStr">
        <is>
          <t>Storage</t>
        </is>
      </c>
      <c r="C81" t="inlineStr">
        <is>
          <t>Concrete</t>
        </is>
      </c>
      <c r="D81" t="inlineStr">
        <is>
          <t>HVAC duct insulation gap at return plenum</t>
        </is>
      </c>
      <c r="E81" t="inlineStr">
        <is>
          <t>Low</t>
        </is>
      </c>
      <c r="F81" t="inlineStr">
        <is>
          <t>R. Thompson</t>
        </is>
      </c>
      <c r="G81" s="2" t="n">
        <v>46180</v>
      </c>
      <c r="H81" s="2" t="n">
        <v>46197</v>
      </c>
      <c r="I81">
        <f>IF(G81="","",TODAY()-G81)</f>
        <v/>
      </c>
      <c r="J81" t="inlineStr">
        <is>
          <t>Closed</t>
        </is>
      </c>
      <c r="K81" t="inlineStr"/>
    </row>
    <row r="82">
      <c r="A82" t="inlineStr">
        <is>
          <t>PL-081</t>
        </is>
      </c>
      <c r="B82" t="inlineStr">
        <is>
          <t>Lobby</t>
        </is>
      </c>
      <c r="C82" t="inlineStr">
        <is>
          <t>Finish</t>
        </is>
      </c>
      <c r="D82" t="inlineStr">
        <is>
          <t>Mirror damaged in west restroom</t>
        </is>
      </c>
      <c r="E82" t="inlineStr">
        <is>
          <t>Low</t>
        </is>
      </c>
      <c r="F82" t="inlineStr">
        <is>
          <t>D. Williams</t>
        </is>
      </c>
      <c r="G82" s="2" t="n">
        <v>46074</v>
      </c>
      <c r="H82" s="2" t="n">
        <v>46084</v>
      </c>
      <c r="I82">
        <f>IF(G82="","",TODAY()-G82)</f>
        <v/>
      </c>
      <c r="J82" t="inlineStr">
        <is>
          <t>In Progress</t>
        </is>
      </c>
      <c r="K82" t="inlineStr"/>
    </row>
    <row r="83">
      <c r="A83" t="inlineStr">
        <is>
          <t>PL-082</t>
        </is>
      </c>
      <c r="B83" t="inlineStr">
        <is>
          <t>Lobby</t>
        </is>
      </c>
      <c r="C83" t="inlineStr">
        <is>
          <t>Concrete</t>
        </is>
      </c>
      <c r="D83" t="inlineStr">
        <is>
          <t>Drain cleanout plug cross-threaded</t>
        </is>
      </c>
      <c r="E83" t="inlineStr">
        <is>
          <t>Medium</t>
        </is>
      </c>
      <c r="F83" t="inlineStr">
        <is>
          <t>A. Kim</t>
        </is>
      </c>
      <c r="G83" s="2" t="n">
        <v>46085</v>
      </c>
      <c r="H83" s="2" t="n">
        <v>46103</v>
      </c>
      <c r="I83">
        <f>IF(G83="","",TODAY()-G83)</f>
        <v/>
      </c>
      <c r="J83" t="inlineStr">
        <is>
          <t>Open</t>
        </is>
      </c>
      <c r="K83" t="inlineStr"/>
    </row>
    <row r="84">
      <c r="A84" t="inlineStr">
        <is>
          <t>PL-083</t>
        </is>
      </c>
      <c r="B84" t="inlineStr">
        <is>
          <t>Concourse</t>
        </is>
      </c>
      <c r="C84" t="inlineStr">
        <is>
          <t>General</t>
        </is>
      </c>
      <c r="D84" t="inlineStr">
        <is>
          <t>Expansion joint cover loose</t>
        </is>
      </c>
      <c r="E84" t="inlineStr">
        <is>
          <t>Low</t>
        </is>
      </c>
      <c r="F84" t="inlineStr">
        <is>
          <t>T. Brown</t>
        </is>
      </c>
      <c r="G84" s="2" t="n">
        <v>46083</v>
      </c>
      <c r="H84" s="2" t="n">
        <v>46113</v>
      </c>
      <c r="I84">
        <f>IF(G84="","",TODAY()-G84)</f>
        <v/>
      </c>
      <c r="J84" t="inlineStr">
        <is>
          <t>Open</t>
        </is>
      </c>
      <c r="K84" t="inlineStr"/>
    </row>
    <row r="85">
      <c r="A85" t="inlineStr">
        <is>
          <t>PL-084</t>
        </is>
      </c>
      <c r="B85" t="inlineStr">
        <is>
          <t>Stairwell</t>
        </is>
      </c>
      <c r="C85" t="inlineStr">
        <is>
          <t>Glass/Glazing</t>
        </is>
      </c>
      <c r="D85" t="inlineStr">
        <is>
          <t>Screw pops in drywall — repair and finish</t>
        </is>
      </c>
      <c r="E85" t="inlineStr">
        <is>
          <t>High</t>
        </is>
      </c>
      <c r="F85" t="inlineStr">
        <is>
          <t>L. Chen</t>
        </is>
      </c>
      <c r="G85" s="2" t="n">
        <v>46073</v>
      </c>
      <c r="H85" s="2" t="n">
        <v>46082</v>
      </c>
      <c r="I85">
        <f>IF(G85="","",TODAY()-G85)</f>
        <v/>
      </c>
      <c r="J85" t="inlineStr">
        <is>
          <t>Closed</t>
        </is>
      </c>
      <c r="K85" t="inlineStr">
        <is>
          <t>Inspected by A. Kim</t>
        </is>
      </c>
    </row>
    <row r="86">
      <c r="A86" t="inlineStr">
        <is>
          <t>PL-085</t>
        </is>
      </c>
      <c r="B86" t="inlineStr">
        <is>
          <t>Storage</t>
        </is>
      </c>
      <c r="C86" t="inlineStr">
        <is>
          <t>HVAC</t>
        </is>
      </c>
      <c r="D86" t="inlineStr">
        <is>
          <t>Handrail bracket loose on stairway</t>
        </is>
      </c>
      <c r="E86" t="inlineStr">
        <is>
          <t>Critical</t>
        </is>
      </c>
      <c r="F86" t="inlineStr">
        <is>
          <t>M. Patel</t>
        </is>
      </c>
      <c r="G86" s="2" t="n">
        <v>46066</v>
      </c>
      <c r="H86" s="2" t="n">
        <v>46078</v>
      </c>
      <c r="I86">
        <f>IF(G86="","",TODAY()-G86)</f>
        <v/>
      </c>
      <c r="J86" t="inlineStr">
        <is>
          <t>Ready for Review</t>
        </is>
      </c>
      <c r="K86" t="inlineStr">
        <is>
          <t>Inspected by D. Williams</t>
        </is>
      </c>
    </row>
    <row r="87">
      <c r="A87" t="inlineStr">
        <is>
          <t>PL-086</t>
        </is>
      </c>
      <c r="B87" t="inlineStr">
        <is>
          <t>Stairwell</t>
        </is>
      </c>
      <c r="C87" t="inlineStr">
        <is>
          <t>Electrical</t>
        </is>
      </c>
      <c r="D87" t="inlineStr">
        <is>
          <t>Fire damper actuator not tested</t>
        </is>
      </c>
      <c r="E87" t="inlineStr">
        <is>
          <t>High</t>
        </is>
      </c>
      <c r="F87" t="inlineStr">
        <is>
          <t>N. Davis</t>
        </is>
      </c>
      <c r="G87" s="2" t="n">
        <v>46091</v>
      </c>
      <c r="H87" s="2" t="n">
        <v>46111</v>
      </c>
      <c r="I87">
        <f>IF(G87="","",TODAY()-G87)</f>
        <v/>
      </c>
      <c r="J87" t="inlineStr">
        <is>
          <t>Closed</t>
        </is>
      </c>
      <c r="K87" t="inlineStr"/>
    </row>
    <row r="88">
      <c r="A88" t="inlineStr">
        <is>
          <t>PL-087</t>
        </is>
      </c>
      <c r="B88" t="inlineStr">
        <is>
          <t>Stairwell</t>
        </is>
      </c>
      <c r="C88" t="inlineStr">
        <is>
          <t>Carpentry</t>
        </is>
      </c>
      <c r="D88" t="inlineStr">
        <is>
          <t>Drain cleanout plug cross-threaded</t>
        </is>
      </c>
      <c r="E88" t="inlineStr">
        <is>
          <t>Low</t>
        </is>
      </c>
      <c r="F88" t="inlineStr">
        <is>
          <t>T. Brown</t>
        </is>
      </c>
      <c r="G88" s="2" t="n">
        <v>46046</v>
      </c>
      <c r="H88" s="2" t="n">
        <v>46064</v>
      </c>
      <c r="I88">
        <f>IF(G88="","",TODAY()-G88)</f>
        <v/>
      </c>
      <c r="J88" t="inlineStr">
        <is>
          <t>Closed</t>
        </is>
      </c>
      <c r="K88" t="inlineStr"/>
    </row>
    <row r="89">
      <c r="A89" t="inlineStr">
        <is>
          <t>PL-088</t>
        </is>
      </c>
      <c r="B89" t="inlineStr">
        <is>
          <t>Restroom</t>
        </is>
      </c>
      <c r="C89" t="inlineStr">
        <is>
          <t>HVAC</t>
        </is>
      </c>
      <c r="D89" t="inlineStr">
        <is>
          <t>Millwork edge banding peeling on cabinet</t>
        </is>
      </c>
      <c r="E89" t="inlineStr">
        <is>
          <t>Medium</t>
        </is>
      </c>
      <c r="F89" t="inlineStr">
        <is>
          <t>K. Johnson</t>
        </is>
      </c>
      <c r="G89" s="2" t="n">
        <v>46074</v>
      </c>
      <c r="H89" s="2" t="n">
        <v>46086</v>
      </c>
      <c r="I89">
        <f>IF(G89="","",TODAY()-G89)</f>
        <v/>
      </c>
      <c r="J89" t="inlineStr">
        <is>
          <t>Open</t>
        </is>
      </c>
      <c r="K89" t="inlineStr"/>
    </row>
    <row r="90">
      <c r="A90" t="inlineStr">
        <is>
          <t>PL-089</t>
        </is>
      </c>
      <c r="B90" t="inlineStr">
        <is>
          <t>MEP Room</t>
        </is>
      </c>
      <c r="C90" t="inlineStr">
        <is>
          <t>Painting</t>
        </is>
      </c>
      <c r="D90" t="inlineStr">
        <is>
          <t>Baseboard gap exceeds 1/8" at joint</t>
        </is>
      </c>
      <c r="E90" t="inlineStr">
        <is>
          <t>High</t>
        </is>
      </c>
      <c r="F90" t="inlineStr">
        <is>
          <t>J. Garcia</t>
        </is>
      </c>
      <c r="G90" s="2" t="n">
        <v>46161</v>
      </c>
      <c r="H90" s="2" t="n">
        <v>46175</v>
      </c>
      <c r="I90">
        <f>IF(G90="","",TODAY()-G90)</f>
        <v/>
      </c>
      <c r="J90" t="inlineStr">
        <is>
          <t>Open</t>
        </is>
      </c>
      <c r="K90" t="inlineStr">
        <is>
          <t>Inspected by S. Rodriguez</t>
        </is>
      </c>
    </row>
    <row r="91">
      <c r="A91" t="inlineStr">
        <is>
          <t>PL-090</t>
        </is>
      </c>
      <c r="B91" t="inlineStr">
        <is>
          <t>Suite</t>
        </is>
      </c>
      <c r="C91" t="inlineStr">
        <is>
          <t>HVAC</t>
        </is>
      </c>
      <c r="D91" t="inlineStr">
        <is>
          <t>Curb angle not anchored per detail</t>
        </is>
      </c>
      <c r="E91" t="inlineStr">
        <is>
          <t>Medium</t>
        </is>
      </c>
      <c r="F91" t="inlineStr">
        <is>
          <t>S. Rodriguez</t>
        </is>
      </c>
      <c r="G91" s="2" t="n">
        <v>46120</v>
      </c>
      <c r="H91" s="2" t="n">
        <v>46139</v>
      </c>
      <c r="I91">
        <f>IF(G91="","",TODAY()-G91)</f>
        <v/>
      </c>
      <c r="J91" t="inlineStr">
        <is>
          <t>Closed</t>
        </is>
      </c>
      <c r="K91" t="inlineStr"/>
    </row>
    <row r="92">
      <c r="A92" t="inlineStr">
        <is>
          <t>PL-091</t>
        </is>
      </c>
      <c r="B92" t="inlineStr">
        <is>
          <t>Roof</t>
        </is>
      </c>
      <c r="C92" t="inlineStr">
        <is>
          <t>Electrical</t>
        </is>
      </c>
      <c r="D92" t="inlineStr">
        <is>
          <t>Missing fire caulking at pipe penetration</t>
        </is>
      </c>
      <c r="E92" t="inlineStr">
        <is>
          <t>Critical</t>
        </is>
      </c>
      <c r="F92" t="inlineStr">
        <is>
          <t>A. Kim</t>
        </is>
      </c>
      <c r="G92" s="2" t="n">
        <v>46115</v>
      </c>
      <c r="H92" s="2" t="n">
        <v>46129</v>
      </c>
      <c r="I92">
        <f>IF(G92="","",TODAY()-G92)</f>
        <v/>
      </c>
      <c r="J92" t="inlineStr">
        <is>
          <t>Open</t>
        </is>
      </c>
      <c r="K92" t="inlineStr"/>
    </row>
    <row r="93">
      <c r="A93" t="inlineStr">
        <is>
          <t>PL-092</t>
        </is>
      </c>
      <c r="B93" t="inlineStr">
        <is>
          <t>Lobby</t>
        </is>
      </c>
      <c r="C93" t="inlineStr">
        <is>
          <t>MEP</t>
        </is>
      </c>
      <c r="D93" t="inlineStr">
        <is>
          <t>Light fixture not aligned with grid</t>
        </is>
      </c>
      <c r="E93" t="inlineStr">
        <is>
          <t>Critical</t>
        </is>
      </c>
      <c r="F93" t="inlineStr">
        <is>
          <t>M. Patel</t>
        </is>
      </c>
      <c r="G93" s="2" t="n">
        <v>46139</v>
      </c>
      <c r="H93" s="2" t="n">
        <v>46169</v>
      </c>
      <c r="I93">
        <f>IF(G93="","",TODAY()-G93)</f>
        <v/>
      </c>
      <c r="J93" t="inlineStr">
        <is>
          <t>Open</t>
        </is>
      </c>
      <c r="K93" t="inlineStr">
        <is>
          <t>Inspected by A. Kim</t>
        </is>
      </c>
    </row>
    <row r="94">
      <c r="A94" t="inlineStr">
        <is>
          <t>PL-093</t>
        </is>
      </c>
      <c r="B94" t="inlineStr">
        <is>
          <t>Lobby</t>
        </is>
      </c>
      <c r="C94" t="inlineStr">
        <is>
          <t>Glass/Glazing</t>
        </is>
      </c>
      <c r="D94" t="inlineStr">
        <is>
          <t>Crack in concrete slab near column B-12</t>
        </is>
      </c>
      <c r="E94" t="inlineStr">
        <is>
          <t>High</t>
        </is>
      </c>
      <c r="F94" t="inlineStr">
        <is>
          <t>M. Patel</t>
        </is>
      </c>
      <c r="G94" s="2" t="n">
        <v>46104</v>
      </c>
      <c r="H94" s="2" t="n">
        <v>46123</v>
      </c>
      <c r="I94">
        <f>IF(G94="","",TODAY()-G94)</f>
        <v/>
      </c>
      <c r="J94" t="inlineStr">
        <is>
          <t>Open</t>
        </is>
      </c>
      <c r="K94" t="inlineStr">
        <is>
          <t>Inspected by S. Rodriguez</t>
        </is>
      </c>
    </row>
    <row r="95">
      <c r="A95" t="inlineStr">
        <is>
          <t>PL-094</t>
        </is>
      </c>
      <c r="B95" t="inlineStr">
        <is>
          <t>Storage</t>
        </is>
      </c>
      <c r="C95" t="inlineStr">
        <is>
          <t>Steel</t>
        </is>
      </c>
      <c r="D95" t="inlineStr">
        <is>
          <t>Expansion joint cover loose</t>
        </is>
      </c>
      <c r="E95" t="inlineStr">
        <is>
          <t>Medium</t>
        </is>
      </c>
      <c r="F95" t="inlineStr">
        <is>
          <t>T. Brown</t>
        </is>
      </c>
      <c r="G95" s="2" t="n">
        <v>46107</v>
      </c>
      <c r="H95" s="2" t="n">
        <v>46124</v>
      </c>
      <c r="I95">
        <f>IF(G95="","",TODAY()-G95)</f>
        <v/>
      </c>
      <c r="J95" t="inlineStr">
        <is>
          <t>Open</t>
        </is>
      </c>
      <c r="K95" t="inlineStr"/>
    </row>
    <row r="96">
      <c r="A96" t="inlineStr">
        <is>
          <t>PL-095</t>
        </is>
      </c>
      <c r="B96" t="inlineStr">
        <is>
          <t>Exterior</t>
        </is>
      </c>
      <c r="C96" t="inlineStr">
        <is>
          <t>Painting</t>
        </is>
      </c>
      <c r="D96" t="inlineStr">
        <is>
          <t>Baseboard gap exceeds 1/8" at joint</t>
        </is>
      </c>
      <c r="E96" t="inlineStr">
        <is>
          <t>Medium</t>
        </is>
      </c>
      <c r="F96" t="inlineStr">
        <is>
          <t>T. Brown</t>
        </is>
      </c>
      <c r="G96" s="2" t="n">
        <v>46075</v>
      </c>
      <c r="H96" s="2" t="n">
        <v>46083</v>
      </c>
      <c r="I96">
        <f>IF(G96="","",TODAY()-G96)</f>
        <v/>
      </c>
      <c r="J96" t="inlineStr">
        <is>
          <t>Open</t>
        </is>
      </c>
      <c r="K96" t="inlineStr"/>
    </row>
    <row r="97">
      <c r="A97" t="inlineStr">
        <is>
          <t>PL-096</t>
        </is>
      </c>
      <c r="B97" t="inlineStr">
        <is>
          <t>MEP Room</t>
        </is>
      </c>
      <c r="C97" t="inlineStr">
        <is>
          <t>Electrical</t>
        </is>
      </c>
      <c r="D97" t="inlineStr">
        <is>
          <t>Thermostat not communicating with BMS</t>
        </is>
      </c>
      <c r="E97" t="inlineStr">
        <is>
          <t>Critical</t>
        </is>
      </c>
      <c r="F97" t="inlineStr">
        <is>
          <t>A. Kim</t>
        </is>
      </c>
      <c r="G97" s="2" t="n">
        <v>46124</v>
      </c>
      <c r="H97" s="2" t="n">
        <v>46143</v>
      </c>
      <c r="I97">
        <f>IF(G97="","",TODAY()-G97)</f>
        <v/>
      </c>
      <c r="J97" t="inlineStr">
        <is>
          <t>Ready for Review</t>
        </is>
      </c>
      <c r="K97" t="inlineStr"/>
    </row>
    <row r="98">
      <c r="A98" t="inlineStr">
        <is>
          <t>PL-097</t>
        </is>
      </c>
      <c r="B98" t="inlineStr">
        <is>
          <t>Lobby</t>
        </is>
      </c>
      <c r="C98" t="inlineStr">
        <is>
          <t>Carpentry</t>
        </is>
      </c>
      <c r="D98" t="inlineStr">
        <is>
          <t>Expansion joint cover loose</t>
        </is>
      </c>
      <c r="E98" t="inlineStr">
        <is>
          <t>Low</t>
        </is>
      </c>
      <c r="F98" t="inlineStr">
        <is>
          <t>A. Kim</t>
        </is>
      </c>
      <c r="G98" s="2" t="n">
        <v>46101</v>
      </c>
      <c r="H98" s="2" t="n">
        <v>46125</v>
      </c>
      <c r="I98">
        <f>IF(G98="","",TODAY()-G98)</f>
        <v/>
      </c>
      <c r="J98" t="inlineStr">
        <is>
          <t>In Progress</t>
        </is>
      </c>
      <c r="K98" t="inlineStr">
        <is>
          <t>Inspected by S. Rodriguez</t>
        </is>
      </c>
    </row>
    <row r="99">
      <c r="A99" t="inlineStr">
        <is>
          <t>PL-098</t>
        </is>
      </c>
      <c r="B99" t="inlineStr">
        <is>
          <t>Stairwell</t>
        </is>
      </c>
      <c r="C99" t="inlineStr">
        <is>
          <t>Steel</t>
        </is>
      </c>
      <c r="D99" t="inlineStr">
        <is>
          <t>Curb angle not anchored per detail</t>
        </is>
      </c>
      <c r="E99" t="inlineStr">
        <is>
          <t>Critical</t>
        </is>
      </c>
      <c r="F99" t="inlineStr">
        <is>
          <t>T. Brown</t>
        </is>
      </c>
      <c r="G99" s="2" t="n">
        <v>46117</v>
      </c>
      <c r="H99" s="2" t="n">
        <v>46147</v>
      </c>
      <c r="I99">
        <f>IF(G99="","",TODAY()-G99)</f>
        <v/>
      </c>
      <c r="J99" t="inlineStr">
        <is>
          <t>Closed</t>
        </is>
      </c>
      <c r="K99" t="inlineStr"/>
    </row>
    <row r="100">
      <c r="A100" t="inlineStr">
        <is>
          <t>PL-099</t>
        </is>
      </c>
      <c r="B100" t="inlineStr">
        <is>
          <t>Field</t>
        </is>
      </c>
      <c r="C100" t="inlineStr">
        <is>
          <t>Finish</t>
        </is>
      </c>
      <c r="D100" t="inlineStr">
        <is>
          <t>Mirror damaged in west restroom</t>
        </is>
      </c>
      <c r="E100" t="inlineStr">
        <is>
          <t>Low</t>
        </is>
      </c>
      <c r="F100" t="inlineStr">
        <is>
          <t>A. Kim</t>
        </is>
      </c>
      <c r="G100" s="2" t="n">
        <v>46154</v>
      </c>
      <c r="H100" s="2" t="n">
        <v>46182</v>
      </c>
      <c r="I100">
        <f>IF(G100="","",TODAY()-G100)</f>
        <v/>
      </c>
      <c r="J100" t="inlineStr">
        <is>
          <t>Closed</t>
        </is>
      </c>
      <c r="K100" t="inlineStr">
        <is>
          <t>Inspected by D. Williams</t>
        </is>
      </c>
    </row>
    <row r="101">
      <c r="A101" t="inlineStr">
        <is>
          <t>PL-100</t>
        </is>
      </c>
      <c r="B101" t="inlineStr">
        <is>
          <t>Restroom</t>
        </is>
      </c>
      <c r="C101" t="inlineStr">
        <is>
          <t>General</t>
        </is>
      </c>
      <c r="D101" t="inlineStr">
        <is>
          <t>Curb angle not anchored per detail</t>
        </is>
      </c>
      <c r="E101" t="inlineStr">
        <is>
          <t>High</t>
        </is>
      </c>
      <c r="F101" t="inlineStr">
        <is>
          <t>N. Davis</t>
        </is>
      </c>
      <c r="G101" s="2" t="n">
        <v>46087</v>
      </c>
      <c r="H101" s="2" t="n">
        <v>46108</v>
      </c>
      <c r="I101">
        <f>IF(G101="","",TODAY()-G101)</f>
        <v/>
      </c>
      <c r="J101" t="inlineStr">
        <is>
          <t>Rejected</t>
        </is>
      </c>
      <c r="K101" t="inlineStr"/>
    </row>
    <row r="102">
      <c r="A102" t="inlineStr">
        <is>
          <t>PL-101</t>
        </is>
      </c>
      <c r="B102" t="inlineStr">
        <is>
          <t>Concourse</t>
        </is>
      </c>
      <c r="C102" t="inlineStr">
        <is>
          <t>Concrete</t>
        </is>
      </c>
      <c r="D102" t="inlineStr">
        <is>
          <t>Caulking missing at countertop backsplash</t>
        </is>
      </c>
      <c r="E102" t="inlineStr">
        <is>
          <t>Low</t>
        </is>
      </c>
      <c r="F102" t="inlineStr">
        <is>
          <t>A. Kim</t>
        </is>
      </c>
      <c r="G102" s="2" t="n">
        <v>46041</v>
      </c>
      <c r="H102" s="2" t="n">
        <v>46056</v>
      </c>
      <c r="I102">
        <f>IF(G102="","",TODAY()-G102)</f>
        <v/>
      </c>
      <c r="J102" t="inlineStr">
        <is>
          <t>Closed</t>
        </is>
      </c>
      <c r="K102" t="inlineStr"/>
    </row>
    <row r="103">
      <c r="A103" t="inlineStr">
        <is>
          <t>PL-102</t>
        </is>
      </c>
      <c r="B103" t="inlineStr">
        <is>
          <t>Lobby</t>
        </is>
      </c>
      <c r="C103" t="inlineStr">
        <is>
          <t>Electrical</t>
        </is>
      </c>
      <c r="D103" t="inlineStr">
        <is>
          <t>Millwork edge banding peeling on cabinet</t>
        </is>
      </c>
      <c r="E103" t="inlineStr">
        <is>
          <t>Low</t>
        </is>
      </c>
      <c r="F103" t="inlineStr">
        <is>
          <t>A. Kim</t>
        </is>
      </c>
      <c r="G103" s="2" t="n">
        <v>46071</v>
      </c>
      <c r="H103" s="2" t="n">
        <v>46088</v>
      </c>
      <c r="I103">
        <f>IF(G103="","",TODAY()-G103)</f>
        <v/>
      </c>
      <c r="J103" t="inlineStr">
        <is>
          <t>In Progress</t>
        </is>
      </c>
      <c r="K103" t="inlineStr"/>
    </row>
    <row r="104">
      <c r="A104" t="inlineStr">
        <is>
          <t>PL-103</t>
        </is>
      </c>
      <c r="B104" t="inlineStr">
        <is>
          <t>Stairwell</t>
        </is>
      </c>
      <c r="C104" t="inlineStr">
        <is>
          <t>Plumbing</t>
        </is>
      </c>
      <c r="D104" t="inlineStr">
        <is>
          <t>Toilet flange not secured to floor</t>
        </is>
      </c>
      <c r="E104" t="inlineStr">
        <is>
          <t>Low</t>
        </is>
      </c>
      <c r="F104" t="inlineStr">
        <is>
          <t>J. Garcia</t>
        </is>
      </c>
      <c r="G104" s="2" t="n">
        <v>46097</v>
      </c>
      <c r="H104" s="2" t="n">
        <v>46106</v>
      </c>
      <c r="I104">
        <f>IF(G104="","",TODAY()-G104)</f>
        <v/>
      </c>
      <c r="J104" t="inlineStr">
        <is>
          <t>Closed</t>
        </is>
      </c>
      <c r="K104" t="inlineStr">
        <is>
          <t>Inspected by N. Davis</t>
        </is>
      </c>
    </row>
    <row r="105">
      <c r="A105" t="inlineStr">
        <is>
          <t>PL-104</t>
        </is>
      </c>
      <c r="B105" t="inlineStr">
        <is>
          <t>Field</t>
        </is>
      </c>
      <c r="C105" t="inlineStr">
        <is>
          <t>General</t>
        </is>
      </c>
      <c r="D105" t="inlineStr">
        <is>
          <t>Light fixture not aligned with grid</t>
        </is>
      </c>
      <c r="E105" t="inlineStr">
        <is>
          <t>Critical</t>
        </is>
      </c>
      <c r="F105" t="inlineStr">
        <is>
          <t>L. Chen</t>
        </is>
      </c>
      <c r="G105" s="2" t="n">
        <v>46140</v>
      </c>
      <c r="H105" s="2" t="n">
        <v>46157</v>
      </c>
      <c r="I105">
        <f>IF(G105="","",TODAY()-G105)</f>
        <v/>
      </c>
      <c r="J105" t="inlineStr">
        <is>
          <t>Open</t>
        </is>
      </c>
      <c r="K105" t="inlineStr"/>
    </row>
    <row r="106">
      <c r="A106" t="inlineStr">
        <is>
          <t>PL-105</t>
        </is>
      </c>
      <c r="B106" t="inlineStr">
        <is>
          <t>Roof</t>
        </is>
      </c>
      <c r="C106" t="inlineStr">
        <is>
          <t>Glass/Glazing</t>
        </is>
      </c>
      <c r="D106" t="inlineStr">
        <is>
          <t>EMT conduit support clamp missing</t>
        </is>
      </c>
      <c r="E106" t="inlineStr">
        <is>
          <t>High</t>
        </is>
      </c>
      <c r="F106" t="inlineStr">
        <is>
          <t>T. Brown</t>
        </is>
      </c>
      <c r="G106" s="2" t="n">
        <v>46168</v>
      </c>
      <c r="H106" s="2" t="n">
        <v>46175</v>
      </c>
      <c r="I106">
        <f>IF(G106="","",TODAY()-G106)</f>
        <v/>
      </c>
      <c r="J106" t="inlineStr">
        <is>
          <t>In Progress</t>
        </is>
      </c>
      <c r="K106" t="inlineStr"/>
    </row>
    <row r="107">
      <c r="A107" t="inlineStr">
        <is>
          <t>PL-106</t>
        </is>
      </c>
      <c r="B107" t="inlineStr">
        <is>
          <t>Roof</t>
        </is>
      </c>
      <c r="C107" t="inlineStr">
        <is>
          <t>Plumbing</t>
        </is>
      </c>
      <c r="D107" t="inlineStr">
        <is>
          <t>Door closer speed set too fast</t>
        </is>
      </c>
      <c r="E107" t="inlineStr">
        <is>
          <t>High</t>
        </is>
      </c>
      <c r="F107" t="inlineStr">
        <is>
          <t>R. Thompson</t>
        </is>
      </c>
      <c r="G107" s="2" t="n">
        <v>46122</v>
      </c>
      <c r="H107" s="2" t="n">
        <v>46145</v>
      </c>
      <c r="I107">
        <f>IF(G107="","",TODAY()-G107)</f>
        <v/>
      </c>
      <c r="J107" t="inlineStr">
        <is>
          <t>Open</t>
        </is>
      </c>
      <c r="K107" t="inlineStr">
        <is>
          <t>Inspected by N. Davis</t>
        </is>
      </c>
    </row>
    <row r="108">
      <c r="A108" t="inlineStr">
        <is>
          <t>PL-107</t>
        </is>
      </c>
      <c r="B108" t="inlineStr">
        <is>
          <t>Lobby</t>
        </is>
      </c>
      <c r="C108" t="inlineStr">
        <is>
          <t>Finish</t>
        </is>
      </c>
      <c r="D108" t="inlineStr">
        <is>
          <t>Rainwater downspout extension missing</t>
        </is>
      </c>
      <c r="E108" t="inlineStr">
        <is>
          <t>High</t>
        </is>
      </c>
      <c r="F108" t="inlineStr">
        <is>
          <t>T. Brown</t>
        </is>
      </c>
      <c r="G108" s="2" t="n">
        <v>46070</v>
      </c>
      <c r="H108" s="2" t="n">
        <v>46087</v>
      </c>
      <c r="I108">
        <f>IF(G108="","",TODAY()-G108)</f>
        <v/>
      </c>
      <c r="J108" t="inlineStr">
        <is>
          <t>In Progress</t>
        </is>
      </c>
      <c r="K108" t="inlineStr"/>
    </row>
    <row r="109">
      <c r="A109" t="inlineStr">
        <is>
          <t>PL-108</t>
        </is>
      </c>
      <c r="B109" t="inlineStr">
        <is>
          <t>Suite</t>
        </is>
      </c>
      <c r="C109" t="inlineStr">
        <is>
          <t>Electrical</t>
        </is>
      </c>
      <c r="D109" t="inlineStr">
        <is>
          <t>Drain cleanout plug cross-threaded</t>
        </is>
      </c>
      <c r="E109" t="inlineStr">
        <is>
          <t>Critical</t>
        </is>
      </c>
      <c r="F109" t="inlineStr">
        <is>
          <t>M. Patel</t>
        </is>
      </c>
      <c r="G109" s="2" t="n">
        <v>46067</v>
      </c>
      <c r="H109" s="2" t="n">
        <v>46095</v>
      </c>
      <c r="I109">
        <f>IF(G109="","",TODAY()-G109)</f>
        <v/>
      </c>
      <c r="J109" t="inlineStr">
        <is>
          <t>Open</t>
        </is>
      </c>
      <c r="K109" t="inlineStr"/>
    </row>
    <row r="110">
      <c r="A110" t="inlineStr">
        <is>
          <t>PL-109</t>
        </is>
      </c>
      <c r="B110" t="inlineStr">
        <is>
          <t>Stairwell</t>
        </is>
      </c>
      <c r="C110" t="inlineStr">
        <is>
          <t>Painting</t>
        </is>
      </c>
      <c r="D110" t="inlineStr">
        <is>
          <t>Sprinkler head paint overspray — clean</t>
        </is>
      </c>
      <c r="E110" t="inlineStr">
        <is>
          <t>Low</t>
        </is>
      </c>
      <c r="F110" t="inlineStr">
        <is>
          <t>A. Kim</t>
        </is>
      </c>
      <c r="G110" s="2" t="n">
        <v>46160</v>
      </c>
      <c r="H110" s="2" t="n">
        <v>46177</v>
      </c>
      <c r="I110">
        <f>IF(G110="","",TODAY()-G110)</f>
        <v/>
      </c>
      <c r="J110" t="inlineStr">
        <is>
          <t>In Progress</t>
        </is>
      </c>
      <c r="K110" t="inlineStr">
        <is>
          <t>Inspected by S. Rodriguez</t>
        </is>
      </c>
    </row>
    <row r="111">
      <c r="A111" t="inlineStr">
        <is>
          <t>PL-110</t>
        </is>
      </c>
      <c r="B111" t="inlineStr">
        <is>
          <t>Concourse</t>
        </is>
      </c>
      <c r="C111" t="inlineStr">
        <is>
          <t>Carpentry</t>
        </is>
      </c>
      <c r="D111" t="inlineStr">
        <is>
          <t>Roof membrane patched — verify watertight</t>
        </is>
      </c>
      <c r="E111" t="inlineStr">
        <is>
          <t>High</t>
        </is>
      </c>
      <c r="F111" t="inlineStr">
        <is>
          <t>N. Davis</t>
        </is>
      </c>
      <c r="G111" s="2" t="n">
        <v>46084</v>
      </c>
      <c r="H111" s="2" t="n">
        <v>46099</v>
      </c>
      <c r="I111">
        <f>IF(G111="","",TODAY()-G111)</f>
        <v/>
      </c>
      <c r="J111" t="inlineStr">
        <is>
          <t>In Progress</t>
        </is>
      </c>
      <c r="K111" t="inlineStr"/>
    </row>
    <row r="112">
      <c r="A112" t="inlineStr">
        <is>
          <t>PL-111</t>
        </is>
      </c>
      <c r="B112" t="inlineStr">
        <is>
          <t>Exterior</t>
        </is>
      </c>
      <c r="C112" t="inlineStr">
        <is>
          <t>Glass/Glazing</t>
        </is>
      </c>
      <c r="D112" t="inlineStr">
        <is>
          <t>Fire damper actuator not tested</t>
        </is>
      </c>
      <c r="E112" t="inlineStr">
        <is>
          <t>Critical</t>
        </is>
      </c>
      <c r="F112" t="inlineStr">
        <is>
          <t>T. Brown</t>
        </is>
      </c>
      <c r="G112" s="2" t="n">
        <v>46104</v>
      </c>
      <c r="H112" s="2" t="n">
        <v>46116</v>
      </c>
      <c r="I112">
        <f>IF(G112="","",TODAY()-G112)</f>
        <v/>
      </c>
      <c r="J112" t="inlineStr">
        <is>
          <t>Ready for Review</t>
        </is>
      </c>
      <c r="K112" t="inlineStr"/>
    </row>
    <row r="113">
      <c r="A113" t="inlineStr">
        <is>
          <t>PL-112</t>
        </is>
      </c>
      <c r="B113" t="inlineStr">
        <is>
          <t>Roof</t>
        </is>
      </c>
      <c r="C113" t="inlineStr">
        <is>
          <t>Glass/Glazing</t>
        </is>
      </c>
      <c r="D113" t="inlineStr">
        <is>
          <t>Corner guard adhesive failing</t>
        </is>
      </c>
      <c r="E113" t="inlineStr">
        <is>
          <t>Low</t>
        </is>
      </c>
      <c r="F113" t="inlineStr">
        <is>
          <t>N. Davis</t>
        </is>
      </c>
      <c r="G113" s="2" t="n">
        <v>46078</v>
      </c>
      <c r="H113" s="2" t="n">
        <v>46098</v>
      </c>
      <c r="I113">
        <f>IF(G113="","",TODAY()-G113)</f>
        <v/>
      </c>
      <c r="J113" t="inlineStr">
        <is>
          <t>Closed</t>
        </is>
      </c>
      <c r="K113" t="inlineStr">
        <is>
          <t>Inspected by D. Williams</t>
        </is>
      </c>
    </row>
    <row r="114">
      <c r="A114" t="inlineStr">
        <is>
          <t>PL-113</t>
        </is>
      </c>
      <c r="B114" t="inlineStr">
        <is>
          <t>Storage</t>
        </is>
      </c>
      <c r="C114" t="inlineStr">
        <is>
          <t>Concrete</t>
        </is>
      </c>
      <c r="D114" t="inlineStr">
        <is>
          <t>Roof membrane patched — verify watertight</t>
        </is>
      </c>
      <c r="E114" t="inlineStr">
        <is>
          <t>High</t>
        </is>
      </c>
      <c r="F114" t="inlineStr">
        <is>
          <t>J. Garcia</t>
        </is>
      </c>
      <c r="G114" s="2" t="n">
        <v>46106</v>
      </c>
      <c r="H114" s="2" t="n">
        <v>46121</v>
      </c>
      <c r="I114">
        <f>IF(G114="","",TODAY()-G114)</f>
        <v/>
      </c>
      <c r="J114" t="inlineStr">
        <is>
          <t>Open</t>
        </is>
      </c>
      <c r="K114" t="inlineStr">
        <is>
          <t>Inspected by J. Garcia</t>
        </is>
      </c>
    </row>
    <row r="115">
      <c r="A115" t="inlineStr">
        <is>
          <t>PL-114</t>
        </is>
      </c>
      <c r="B115" t="inlineStr">
        <is>
          <t>Suite</t>
        </is>
      </c>
      <c r="C115" t="inlineStr">
        <is>
          <t>MEP</t>
        </is>
      </c>
      <c r="D115" t="inlineStr">
        <is>
          <t>Baseboard gap exceeds 1/8" at joint</t>
        </is>
      </c>
      <c r="E115" t="inlineStr">
        <is>
          <t>Medium</t>
        </is>
      </c>
      <c r="F115" t="inlineStr">
        <is>
          <t>T. Brown</t>
        </is>
      </c>
      <c r="G115" s="2" t="n">
        <v>46133</v>
      </c>
      <c r="H115" s="2" t="n">
        <v>46151</v>
      </c>
      <c r="I115">
        <f>IF(G115="","",TODAY()-G115)</f>
        <v/>
      </c>
      <c r="J115" t="inlineStr">
        <is>
          <t>Open</t>
        </is>
      </c>
      <c r="K115" t="inlineStr"/>
    </row>
    <row r="116">
      <c r="A116" t="inlineStr">
        <is>
          <t>PL-115</t>
        </is>
      </c>
      <c r="B116" t="inlineStr">
        <is>
          <t>Roof</t>
        </is>
      </c>
      <c r="C116" t="inlineStr">
        <is>
          <t>Painting</t>
        </is>
      </c>
      <c r="D116" t="inlineStr">
        <is>
          <t>Caulking missing at countertop backsplash</t>
        </is>
      </c>
      <c r="E116" t="inlineStr">
        <is>
          <t>Medium</t>
        </is>
      </c>
      <c r="F116" t="inlineStr">
        <is>
          <t>N. Davis</t>
        </is>
      </c>
      <c r="G116" s="2" t="n">
        <v>46157</v>
      </c>
      <c r="H116" s="2" t="n">
        <v>46182</v>
      </c>
      <c r="I116">
        <f>IF(G116="","",TODAY()-G116)</f>
        <v/>
      </c>
      <c r="J116" t="inlineStr">
        <is>
          <t>Closed</t>
        </is>
      </c>
      <c r="K116" t="inlineStr"/>
    </row>
    <row r="117">
      <c r="A117" t="inlineStr">
        <is>
          <t>PL-116</t>
        </is>
      </c>
      <c r="B117" t="inlineStr">
        <is>
          <t>Field</t>
        </is>
      </c>
      <c r="C117" t="inlineStr">
        <is>
          <t>Carpentry</t>
        </is>
      </c>
      <c r="D117" t="inlineStr">
        <is>
          <t>Crack in concrete slab near column B-12</t>
        </is>
      </c>
      <c r="E117" t="inlineStr">
        <is>
          <t>High</t>
        </is>
      </c>
      <c r="F117" t="inlineStr">
        <is>
          <t>M. Patel</t>
        </is>
      </c>
      <c r="G117" s="2" t="n">
        <v>46094</v>
      </c>
      <c r="H117" s="2" t="n">
        <v>46109</v>
      </c>
      <c r="I117">
        <f>IF(G117="","",TODAY()-G117)</f>
        <v/>
      </c>
      <c r="J117" t="inlineStr">
        <is>
          <t>Closed</t>
        </is>
      </c>
      <c r="K117" t="inlineStr"/>
    </row>
    <row r="118">
      <c r="A118" t="inlineStr">
        <is>
          <t>PL-117</t>
        </is>
      </c>
      <c r="B118" t="inlineStr">
        <is>
          <t>Restroom</t>
        </is>
      </c>
      <c r="C118" t="inlineStr">
        <is>
          <t>Carpentry</t>
        </is>
      </c>
      <c r="D118" t="inlineStr">
        <is>
          <t>Thermostat not communicating with BMS</t>
        </is>
      </c>
      <c r="E118" t="inlineStr">
        <is>
          <t>Critical</t>
        </is>
      </c>
      <c r="F118" t="inlineStr">
        <is>
          <t>M. Patel</t>
        </is>
      </c>
      <c r="G118" s="2" t="n">
        <v>46128</v>
      </c>
      <c r="H118" s="2" t="n">
        <v>46153</v>
      </c>
      <c r="I118">
        <f>IF(G118="","",TODAY()-G118)</f>
        <v/>
      </c>
      <c r="J118" t="inlineStr">
        <is>
          <t>Open</t>
        </is>
      </c>
      <c r="K118" t="inlineStr">
        <is>
          <t>Inspected by S. Rodriguez</t>
        </is>
      </c>
    </row>
    <row r="119">
      <c r="A119" t="inlineStr">
        <is>
          <t>PL-118</t>
        </is>
      </c>
      <c r="B119" t="inlineStr">
        <is>
          <t>Stairwell</t>
        </is>
      </c>
      <c r="C119" t="inlineStr">
        <is>
          <t>Concrete</t>
        </is>
      </c>
      <c r="D119" t="inlineStr">
        <is>
          <t>Drain cleanout plug cross-threaded</t>
        </is>
      </c>
      <c r="E119" t="inlineStr">
        <is>
          <t>High</t>
        </is>
      </c>
      <c r="F119" t="inlineStr">
        <is>
          <t>L. Chen</t>
        </is>
      </c>
      <c r="G119" s="2" t="n">
        <v>46142</v>
      </c>
      <c r="H119" s="2" t="n">
        <v>46150</v>
      </c>
      <c r="I119">
        <f>IF(G119="","",TODAY()-G119)</f>
        <v/>
      </c>
      <c r="J119" t="inlineStr">
        <is>
          <t>Open</t>
        </is>
      </c>
      <c r="K119" t="inlineStr">
        <is>
          <t>Inspected by D. Williams</t>
        </is>
      </c>
    </row>
    <row r="120">
      <c r="A120" t="inlineStr">
        <is>
          <t>PL-119</t>
        </is>
      </c>
      <c r="B120" t="inlineStr">
        <is>
          <t>Restroom</t>
        </is>
      </c>
      <c r="C120" t="inlineStr">
        <is>
          <t>HVAC</t>
        </is>
      </c>
      <c r="D120" t="inlineStr">
        <is>
          <t>GFCI outlet missing cover plate</t>
        </is>
      </c>
      <c r="E120" t="inlineStr">
        <is>
          <t>Medium</t>
        </is>
      </c>
      <c r="F120" t="inlineStr">
        <is>
          <t>K. Johnson</t>
        </is>
      </c>
      <c r="G120" s="2" t="n">
        <v>46115</v>
      </c>
      <c r="H120" s="2" t="n">
        <v>46139</v>
      </c>
      <c r="I120">
        <f>IF(G120="","",TODAY()-G120)</f>
        <v/>
      </c>
      <c r="J120" t="inlineStr">
        <is>
          <t>Rejected</t>
        </is>
      </c>
      <c r="K120" t="inlineStr"/>
    </row>
    <row r="121">
      <c r="A121" t="inlineStr">
        <is>
          <t>PL-120</t>
        </is>
      </c>
      <c r="B121" t="inlineStr">
        <is>
          <t>Roof</t>
        </is>
      </c>
      <c r="C121" t="inlineStr">
        <is>
          <t>Concrete</t>
        </is>
      </c>
      <c r="D121" t="inlineStr">
        <is>
          <t>Expansion joint cover loose</t>
        </is>
      </c>
      <c r="E121" t="inlineStr">
        <is>
          <t>Low</t>
        </is>
      </c>
      <c r="F121" t="inlineStr">
        <is>
          <t>A. Kim</t>
        </is>
      </c>
      <c r="G121" s="2" t="n">
        <v>46130</v>
      </c>
      <c r="H121" s="2" t="n">
        <v>46145</v>
      </c>
      <c r="I121">
        <f>IF(G121="","",TODAY()-G121)</f>
        <v/>
      </c>
      <c r="J121" t="inlineStr">
        <is>
          <t>Closed</t>
        </is>
      </c>
      <c r="K121" t="inlineStr">
        <is>
          <t>Inspected by T. Brown</t>
        </is>
      </c>
    </row>
    <row r="122">
      <c r="A122" t="inlineStr">
        <is>
          <t>PL-121</t>
        </is>
      </c>
      <c r="B122" t="inlineStr">
        <is>
          <t>Storage</t>
        </is>
      </c>
      <c r="C122" t="inlineStr">
        <is>
          <t>Painting</t>
        </is>
      </c>
      <c r="D122" t="inlineStr">
        <is>
          <t>Drain cleanout plug cross-threaded</t>
        </is>
      </c>
      <c r="E122" t="inlineStr">
        <is>
          <t>Critical</t>
        </is>
      </c>
      <c r="F122" t="inlineStr">
        <is>
          <t>N. Davis</t>
        </is>
      </c>
      <c r="G122" s="2" t="n">
        <v>46180</v>
      </c>
      <c r="H122" s="2" t="n">
        <v>46207</v>
      </c>
      <c r="I122">
        <f>IF(G122="","",TODAY()-G122)</f>
        <v/>
      </c>
      <c r="J122" t="inlineStr">
        <is>
          <t>Ready for Review</t>
        </is>
      </c>
      <c r="K122" t="inlineStr">
        <is>
          <t>Inspected by A. Kim</t>
        </is>
      </c>
    </row>
    <row r="123">
      <c r="A123" t="inlineStr">
        <is>
          <t>PL-122</t>
        </is>
      </c>
      <c r="B123" t="inlineStr">
        <is>
          <t>Restroom</t>
        </is>
      </c>
      <c r="C123" t="inlineStr">
        <is>
          <t>Carpentry</t>
        </is>
      </c>
      <c r="D123" t="inlineStr">
        <is>
          <t>Door frame not plumb — shim and adjust</t>
        </is>
      </c>
      <c r="E123" t="inlineStr">
        <is>
          <t>Low</t>
        </is>
      </c>
      <c r="F123" t="inlineStr">
        <is>
          <t>J. Garcia</t>
        </is>
      </c>
      <c r="G123" s="2" t="n">
        <v>46094</v>
      </c>
      <c r="H123" s="2" t="n">
        <v>46115</v>
      </c>
      <c r="I123">
        <f>IF(G123="","",TODAY()-G123)</f>
        <v/>
      </c>
      <c r="J123" t="inlineStr">
        <is>
          <t>Closed</t>
        </is>
      </c>
      <c r="K123" t="inlineStr"/>
    </row>
    <row r="124">
      <c r="A124" t="inlineStr">
        <is>
          <t>PL-123</t>
        </is>
      </c>
      <c r="B124" t="inlineStr">
        <is>
          <t>Stairwell</t>
        </is>
      </c>
      <c r="C124" t="inlineStr">
        <is>
          <t>Millwork</t>
        </is>
      </c>
      <c r="D124" t="inlineStr">
        <is>
          <t>Toilet flange not secured to floor</t>
        </is>
      </c>
      <c r="E124" t="inlineStr">
        <is>
          <t>Low</t>
        </is>
      </c>
      <c r="F124" t="inlineStr">
        <is>
          <t>M. Patel</t>
        </is>
      </c>
      <c r="G124" s="2" t="n">
        <v>46122</v>
      </c>
      <c r="H124" s="2" t="n">
        <v>46130</v>
      </c>
      <c r="I124">
        <f>IF(G124="","",TODAY()-G124)</f>
        <v/>
      </c>
      <c r="J124" t="inlineStr">
        <is>
          <t>Closed</t>
        </is>
      </c>
      <c r="K124" t="inlineStr">
        <is>
          <t>Inspected by T. Brown</t>
        </is>
      </c>
    </row>
    <row r="125">
      <c r="A125" t="inlineStr">
        <is>
          <t>PL-124</t>
        </is>
      </c>
      <c r="B125" t="inlineStr">
        <is>
          <t>Stairwell</t>
        </is>
      </c>
      <c r="C125" t="inlineStr">
        <is>
          <t>General</t>
        </is>
      </c>
      <c r="D125" t="inlineStr">
        <is>
          <t>Door frame not plumb — shim and adjust</t>
        </is>
      </c>
      <c r="E125" t="inlineStr">
        <is>
          <t>Critical</t>
        </is>
      </c>
      <c r="F125" t="inlineStr">
        <is>
          <t>J. Garcia</t>
        </is>
      </c>
      <c r="G125" s="2" t="n">
        <v>46049</v>
      </c>
      <c r="H125" s="2" t="n">
        <v>46065</v>
      </c>
      <c r="I125">
        <f>IF(G125="","",TODAY()-G125)</f>
        <v/>
      </c>
      <c r="J125" t="inlineStr">
        <is>
          <t>In Progress</t>
        </is>
      </c>
      <c r="K125" t="inlineStr"/>
    </row>
    <row r="126">
      <c r="A126" t="inlineStr">
        <is>
          <t>PL-125</t>
        </is>
      </c>
      <c r="B126" t="inlineStr">
        <is>
          <t>Storage</t>
        </is>
      </c>
      <c r="C126" t="inlineStr">
        <is>
          <t>Carpentry</t>
        </is>
      </c>
      <c r="D126" t="inlineStr">
        <is>
          <t>Crack in concrete slab near column B-12</t>
        </is>
      </c>
      <c r="E126" t="inlineStr">
        <is>
          <t>High</t>
        </is>
      </c>
      <c r="F126" t="inlineStr">
        <is>
          <t>N. Davis</t>
        </is>
      </c>
      <c r="G126" s="2" t="n">
        <v>46055</v>
      </c>
      <c r="H126" s="2" t="n">
        <v>46067</v>
      </c>
      <c r="I126">
        <f>IF(G126="","",TODAY()-G126)</f>
        <v/>
      </c>
      <c r="J126" t="inlineStr">
        <is>
          <t>Ready for Review</t>
        </is>
      </c>
      <c r="K126" t="inlineStr">
        <is>
          <t>Inspected by D. Williams</t>
        </is>
      </c>
    </row>
    <row r="127">
      <c r="A127" t="inlineStr">
        <is>
          <t>PL-126</t>
        </is>
      </c>
      <c r="B127" t="inlineStr">
        <is>
          <t>Storage</t>
        </is>
      </c>
      <c r="C127" t="inlineStr">
        <is>
          <t>Concrete</t>
        </is>
      </c>
      <c r="D127" t="inlineStr">
        <is>
          <t>Caulking missing at countertop backsplash</t>
        </is>
      </c>
      <c r="E127" t="inlineStr">
        <is>
          <t>Critical</t>
        </is>
      </c>
      <c r="F127" t="inlineStr">
        <is>
          <t>M. Patel</t>
        </is>
      </c>
      <c r="G127" s="2" t="n">
        <v>46173</v>
      </c>
      <c r="H127" s="2" t="n">
        <v>46196</v>
      </c>
      <c r="I127">
        <f>IF(G127="","",TODAY()-G127)</f>
        <v/>
      </c>
      <c r="J127" t="inlineStr">
        <is>
          <t>In Progress</t>
        </is>
      </c>
      <c r="K127" t="inlineStr"/>
    </row>
    <row r="128">
      <c r="A128" t="inlineStr">
        <is>
          <t>PL-127</t>
        </is>
      </c>
      <c r="B128" t="inlineStr">
        <is>
          <t>Roof</t>
        </is>
      </c>
      <c r="C128" t="inlineStr">
        <is>
          <t>Millwork</t>
        </is>
      </c>
      <c r="D128" t="inlineStr">
        <is>
          <t>Signage panel not level</t>
        </is>
      </c>
      <c r="E128" t="inlineStr">
        <is>
          <t>Medium</t>
        </is>
      </c>
      <c r="F128" t="inlineStr">
        <is>
          <t>A. Kim</t>
        </is>
      </c>
      <c r="G128" s="2" t="n">
        <v>46112</v>
      </c>
      <c r="H128" s="2" t="n">
        <v>46121</v>
      </c>
      <c r="I128">
        <f>IF(G128="","",TODAY()-G128)</f>
        <v/>
      </c>
      <c r="J128" t="inlineStr">
        <is>
          <t>Open</t>
        </is>
      </c>
      <c r="K128" t="inlineStr">
        <is>
          <t>Inspected by D. Williams</t>
        </is>
      </c>
    </row>
    <row r="129">
      <c r="A129" t="inlineStr">
        <is>
          <t>PL-128</t>
        </is>
      </c>
      <c r="B129" t="inlineStr">
        <is>
          <t>Restroom</t>
        </is>
      </c>
      <c r="C129" t="inlineStr">
        <is>
          <t>Carpentry</t>
        </is>
      </c>
      <c r="D129" t="inlineStr">
        <is>
          <t>EMT conduit support clamp missing</t>
        </is>
      </c>
      <c r="E129" t="inlineStr">
        <is>
          <t>Medium</t>
        </is>
      </c>
      <c r="F129" t="inlineStr">
        <is>
          <t>L. Chen</t>
        </is>
      </c>
      <c r="G129" s="2" t="n">
        <v>46157</v>
      </c>
      <c r="H129" s="2" t="n">
        <v>46181</v>
      </c>
      <c r="I129">
        <f>IF(G129="","",TODAY()-G129)</f>
        <v/>
      </c>
      <c r="J129" t="inlineStr">
        <is>
          <t>Closed</t>
        </is>
      </c>
      <c r="K129" t="inlineStr"/>
    </row>
    <row r="130">
      <c r="A130" t="inlineStr">
        <is>
          <t>PL-129</t>
        </is>
      </c>
      <c r="B130" t="inlineStr">
        <is>
          <t>Field</t>
        </is>
      </c>
      <c r="C130" t="inlineStr">
        <is>
          <t>Finish</t>
        </is>
      </c>
      <c r="D130" t="inlineStr">
        <is>
          <t>Door closer speed set too fast</t>
        </is>
      </c>
      <c r="E130" t="inlineStr">
        <is>
          <t>Low</t>
        </is>
      </c>
      <c r="F130" t="inlineStr">
        <is>
          <t>J. Garcia</t>
        </is>
      </c>
      <c r="G130" s="2" t="n">
        <v>46169</v>
      </c>
      <c r="H130" s="2" t="n">
        <v>46191</v>
      </c>
      <c r="I130">
        <f>IF(G130="","",TODAY()-G130)</f>
        <v/>
      </c>
      <c r="J130" t="inlineStr">
        <is>
          <t>Open</t>
        </is>
      </c>
      <c r="K130" t="inlineStr">
        <is>
          <t>Inspected by L. Chen</t>
        </is>
      </c>
    </row>
    <row r="131">
      <c r="A131" t="inlineStr">
        <is>
          <t>PL-130</t>
        </is>
      </c>
      <c r="B131" t="inlineStr">
        <is>
          <t>Exterior</t>
        </is>
      </c>
      <c r="C131" t="inlineStr">
        <is>
          <t>Steel</t>
        </is>
      </c>
      <c r="D131" t="inlineStr">
        <is>
          <t>Fire damper actuator not tested</t>
        </is>
      </c>
      <c r="E131" t="inlineStr">
        <is>
          <t>Medium</t>
        </is>
      </c>
      <c r="F131" t="inlineStr">
        <is>
          <t>N. Davis</t>
        </is>
      </c>
      <c r="G131" s="2" t="n">
        <v>46099</v>
      </c>
      <c r="H131" s="2" t="n">
        <v>46128</v>
      </c>
      <c r="I131">
        <f>IF(G131="","",TODAY()-G131)</f>
        <v/>
      </c>
      <c r="J131" t="inlineStr">
        <is>
          <t>Closed</t>
        </is>
      </c>
      <c r="K131" t="inlineStr">
        <is>
          <t>Inspected by M. Patel</t>
        </is>
      </c>
    </row>
    <row r="132">
      <c r="A132" t="inlineStr">
        <is>
          <t>PL-131</t>
        </is>
      </c>
      <c r="B132" t="inlineStr">
        <is>
          <t>Restroom</t>
        </is>
      </c>
      <c r="C132" t="inlineStr">
        <is>
          <t>Millwork</t>
        </is>
      </c>
      <c r="D132" t="inlineStr">
        <is>
          <t>Rainwater downspout extension missing</t>
        </is>
      </c>
      <c r="E132" t="inlineStr">
        <is>
          <t>Critical</t>
        </is>
      </c>
      <c r="F132" t="inlineStr">
        <is>
          <t>D. Williams</t>
        </is>
      </c>
      <c r="G132" s="2" t="n">
        <v>46079</v>
      </c>
      <c r="H132" s="2" t="n">
        <v>46090</v>
      </c>
      <c r="I132">
        <f>IF(G132="","",TODAY()-G132)</f>
        <v/>
      </c>
      <c r="J132" t="inlineStr">
        <is>
          <t>Ready for Review</t>
        </is>
      </c>
      <c r="K132" t="inlineStr"/>
    </row>
    <row r="133">
      <c r="A133" t="inlineStr">
        <is>
          <t>PL-132</t>
        </is>
      </c>
      <c r="B133" t="inlineStr">
        <is>
          <t>Concourse</t>
        </is>
      </c>
      <c r="C133" t="inlineStr">
        <is>
          <t>Painting</t>
        </is>
      </c>
      <c r="D133" t="inlineStr">
        <is>
          <t>Thermostat not communicating with BMS</t>
        </is>
      </c>
      <c r="E133" t="inlineStr">
        <is>
          <t>Critical</t>
        </is>
      </c>
      <c r="F133" t="inlineStr">
        <is>
          <t>D. Williams</t>
        </is>
      </c>
      <c r="G133" s="2" t="n">
        <v>46157</v>
      </c>
      <c r="H133" s="2" t="n">
        <v>46186</v>
      </c>
      <c r="I133">
        <f>IF(G133="","",TODAY()-G133)</f>
        <v/>
      </c>
      <c r="J133" t="inlineStr">
        <is>
          <t>Open</t>
        </is>
      </c>
      <c r="K133" t="inlineStr">
        <is>
          <t>Inspected by T. Brown</t>
        </is>
      </c>
    </row>
    <row r="134">
      <c r="A134" t="inlineStr">
        <is>
          <t>PL-133</t>
        </is>
      </c>
      <c r="B134" t="inlineStr">
        <is>
          <t>Restroom</t>
        </is>
      </c>
      <c r="C134" t="inlineStr">
        <is>
          <t>Finish</t>
        </is>
      </c>
      <c r="D134" t="inlineStr">
        <is>
          <t>Expansion joint cover loose</t>
        </is>
      </c>
      <c r="E134" t="inlineStr">
        <is>
          <t>Medium</t>
        </is>
      </c>
      <c r="F134" t="inlineStr">
        <is>
          <t>M. Patel</t>
        </is>
      </c>
      <c r="G134" s="2" t="n">
        <v>46091</v>
      </c>
      <c r="H134" s="2" t="n">
        <v>46100</v>
      </c>
      <c r="I134">
        <f>IF(G134="","",TODAY()-G134)</f>
        <v/>
      </c>
      <c r="J134" t="inlineStr">
        <is>
          <t>Open</t>
        </is>
      </c>
      <c r="K134" t="inlineStr">
        <is>
          <t>Inspected by J. Garcia</t>
        </is>
      </c>
    </row>
    <row r="135">
      <c r="A135" t="inlineStr">
        <is>
          <t>PL-134</t>
        </is>
      </c>
      <c r="B135" t="inlineStr">
        <is>
          <t>Field</t>
        </is>
      </c>
      <c r="C135" t="inlineStr">
        <is>
          <t>HVAC</t>
        </is>
      </c>
      <c r="D135" t="inlineStr">
        <is>
          <t>Light fixture not aligned with grid</t>
        </is>
      </c>
      <c r="E135" t="inlineStr">
        <is>
          <t>High</t>
        </is>
      </c>
      <c r="F135" t="inlineStr">
        <is>
          <t>A. Kim</t>
        </is>
      </c>
      <c r="G135" s="2" t="n">
        <v>46179</v>
      </c>
      <c r="H135" s="2" t="n">
        <v>46189</v>
      </c>
      <c r="I135">
        <f>IF(G135="","",TODAY()-G135)</f>
        <v/>
      </c>
      <c r="J135" t="inlineStr">
        <is>
          <t>Open</t>
        </is>
      </c>
      <c r="K135" t="inlineStr"/>
    </row>
    <row r="136">
      <c r="A136" t="inlineStr">
        <is>
          <t>PL-135</t>
        </is>
      </c>
      <c r="B136" t="inlineStr">
        <is>
          <t>Roof</t>
        </is>
      </c>
      <c r="C136" t="inlineStr">
        <is>
          <t>Millwork</t>
        </is>
      </c>
      <c r="D136" t="inlineStr">
        <is>
          <t>Curb angle not anchored per detail</t>
        </is>
      </c>
      <c r="E136" t="inlineStr">
        <is>
          <t>Low</t>
        </is>
      </c>
      <c r="F136" t="inlineStr">
        <is>
          <t>T. Brown</t>
        </is>
      </c>
      <c r="G136" s="2" t="n">
        <v>46088</v>
      </c>
      <c r="H136" s="2" t="n">
        <v>46096</v>
      </c>
      <c r="I136">
        <f>IF(G136="","",TODAY()-G136)</f>
        <v/>
      </c>
      <c r="J136" t="inlineStr">
        <is>
          <t>In Progress</t>
        </is>
      </c>
      <c r="K136" t="inlineStr"/>
    </row>
    <row r="137">
      <c r="A137" t="inlineStr">
        <is>
          <t>PL-136</t>
        </is>
      </c>
      <c r="B137" t="inlineStr">
        <is>
          <t>Exterior</t>
        </is>
      </c>
      <c r="C137" t="inlineStr">
        <is>
          <t>HVAC</t>
        </is>
      </c>
      <c r="D137" t="inlineStr">
        <is>
          <t>Curb angle not anchored per detail</t>
        </is>
      </c>
      <c r="E137" t="inlineStr">
        <is>
          <t>Medium</t>
        </is>
      </c>
      <c r="F137" t="inlineStr">
        <is>
          <t>S. Rodriguez</t>
        </is>
      </c>
      <c r="G137" s="2" t="n">
        <v>46180</v>
      </c>
      <c r="H137" s="2" t="n">
        <v>46196</v>
      </c>
      <c r="I137">
        <f>IF(G137="","",TODAY()-G137)</f>
        <v/>
      </c>
      <c r="J137" t="inlineStr">
        <is>
          <t>Ready for Review</t>
        </is>
      </c>
      <c r="K137" t="inlineStr">
        <is>
          <t>Inspected by N. Davis</t>
        </is>
      </c>
    </row>
    <row r="138">
      <c r="A138" t="inlineStr">
        <is>
          <t>PL-137</t>
        </is>
      </c>
      <c r="B138" t="inlineStr">
        <is>
          <t>Suite</t>
        </is>
      </c>
      <c r="C138" t="inlineStr">
        <is>
          <t>Millwork</t>
        </is>
      </c>
      <c r="D138" t="inlineStr">
        <is>
          <t>Rainwater downspout extension missing</t>
        </is>
      </c>
      <c r="E138" t="inlineStr">
        <is>
          <t>Medium</t>
        </is>
      </c>
      <c r="F138" t="inlineStr">
        <is>
          <t>S. Rodriguez</t>
        </is>
      </c>
      <c r="G138" s="2" t="n">
        <v>46157</v>
      </c>
      <c r="H138" s="2" t="n">
        <v>46184</v>
      </c>
      <c r="I138">
        <f>IF(G138="","",TODAY()-G138)</f>
        <v/>
      </c>
      <c r="J138" t="inlineStr">
        <is>
          <t>In Progress</t>
        </is>
      </c>
      <c r="K138" t="inlineStr">
        <is>
          <t>Inspected by D. Williams</t>
        </is>
      </c>
    </row>
    <row r="139">
      <c r="A139" t="inlineStr">
        <is>
          <t>PL-138</t>
        </is>
      </c>
      <c r="B139" t="inlineStr">
        <is>
          <t>Suite</t>
        </is>
      </c>
      <c r="C139" t="inlineStr">
        <is>
          <t>HVAC</t>
        </is>
      </c>
      <c r="D139" t="inlineStr">
        <is>
          <t>Caulking missing at countertop backsplash</t>
        </is>
      </c>
      <c r="E139" t="inlineStr">
        <is>
          <t>Medium</t>
        </is>
      </c>
      <c r="F139" t="inlineStr">
        <is>
          <t>T. Brown</t>
        </is>
      </c>
      <c r="G139" s="2" t="n">
        <v>46094</v>
      </c>
      <c r="H139" s="2" t="n">
        <v>46109</v>
      </c>
      <c r="I139">
        <f>IF(G139="","",TODAY()-G139)</f>
        <v/>
      </c>
      <c r="J139" t="inlineStr">
        <is>
          <t>Open</t>
        </is>
      </c>
      <c r="K139" t="inlineStr"/>
    </row>
    <row r="140">
      <c r="A140" t="inlineStr">
        <is>
          <t>PL-139</t>
        </is>
      </c>
      <c r="B140" t="inlineStr">
        <is>
          <t>Stairwell</t>
        </is>
      </c>
      <c r="C140" t="inlineStr">
        <is>
          <t>Glass/Glazing</t>
        </is>
      </c>
      <c r="D140" t="inlineStr">
        <is>
          <t>Door frame not plumb — shim and adjust</t>
        </is>
      </c>
      <c r="E140" t="inlineStr">
        <is>
          <t>Low</t>
        </is>
      </c>
      <c r="F140" t="inlineStr">
        <is>
          <t>N. Davis</t>
        </is>
      </c>
      <c r="G140" s="2" t="n">
        <v>46056</v>
      </c>
      <c r="H140" s="2" t="n">
        <v>46086</v>
      </c>
      <c r="I140">
        <f>IF(G140="","",TODAY()-G140)</f>
        <v/>
      </c>
      <c r="J140" t="inlineStr">
        <is>
          <t>Closed</t>
        </is>
      </c>
      <c r="K140" t="inlineStr">
        <is>
          <t>Inspected by J. Garcia</t>
        </is>
      </c>
    </row>
    <row r="141">
      <c r="A141" t="inlineStr">
        <is>
          <t>PL-140</t>
        </is>
      </c>
      <c r="B141" t="inlineStr">
        <is>
          <t>Concourse</t>
        </is>
      </c>
      <c r="C141" t="inlineStr">
        <is>
          <t>Steel</t>
        </is>
      </c>
      <c r="D141" t="inlineStr">
        <is>
          <t>Caulking missing at countertop backsplash</t>
        </is>
      </c>
      <c r="E141" t="inlineStr">
        <is>
          <t>Critical</t>
        </is>
      </c>
      <c r="F141" t="inlineStr">
        <is>
          <t>L. Chen</t>
        </is>
      </c>
      <c r="G141" s="2" t="n">
        <v>46149</v>
      </c>
      <c r="H141" s="2" t="n">
        <v>46168</v>
      </c>
      <c r="I141">
        <f>IF(G141="","",TODAY()-G141)</f>
        <v/>
      </c>
      <c r="J141" t="inlineStr">
        <is>
          <t>Open</t>
        </is>
      </c>
      <c r="K141" t="inlineStr">
        <is>
          <t>Inspected by D. Williams</t>
        </is>
      </c>
    </row>
    <row r="142">
      <c r="A142" t="inlineStr">
        <is>
          <t>PL-141</t>
        </is>
      </c>
      <c r="B142" t="inlineStr">
        <is>
          <t>Exterior</t>
        </is>
      </c>
      <c r="C142" t="inlineStr">
        <is>
          <t>Electrical</t>
        </is>
      </c>
      <c r="D142" t="inlineStr">
        <is>
          <t>Roof membrane patched — verify watertight</t>
        </is>
      </c>
      <c r="E142" t="inlineStr">
        <is>
          <t>Low</t>
        </is>
      </c>
      <c r="F142" t="inlineStr">
        <is>
          <t>N. Davis</t>
        </is>
      </c>
      <c r="G142" s="2" t="n">
        <v>46075</v>
      </c>
      <c r="H142" s="2" t="n">
        <v>46091</v>
      </c>
      <c r="I142">
        <f>IF(G142="","",TODAY()-G142)</f>
        <v/>
      </c>
      <c r="J142" t="inlineStr">
        <is>
          <t>Closed</t>
        </is>
      </c>
      <c r="K142" t="inlineStr">
        <is>
          <t>Inspected by J. Garcia</t>
        </is>
      </c>
    </row>
    <row r="143">
      <c r="A143" t="inlineStr">
        <is>
          <t>PL-142</t>
        </is>
      </c>
      <c r="B143" t="inlineStr">
        <is>
          <t>Roof</t>
        </is>
      </c>
      <c r="C143" t="inlineStr">
        <is>
          <t>Finish</t>
        </is>
      </c>
      <c r="D143" t="inlineStr">
        <is>
          <t>Paint touch-up required on south wall</t>
        </is>
      </c>
      <c r="E143" t="inlineStr">
        <is>
          <t>Low</t>
        </is>
      </c>
      <c r="F143" t="inlineStr">
        <is>
          <t>A. Kim</t>
        </is>
      </c>
      <c r="G143" s="2" t="n">
        <v>46071</v>
      </c>
      <c r="H143" s="2" t="n">
        <v>46084</v>
      </c>
      <c r="I143">
        <f>IF(G143="","",TODAY()-G143)</f>
        <v/>
      </c>
      <c r="J143" t="inlineStr">
        <is>
          <t>Open</t>
        </is>
      </c>
      <c r="K143" t="inlineStr">
        <is>
          <t>Inspected by R. Thompson</t>
        </is>
      </c>
    </row>
    <row r="144">
      <c r="A144" t="inlineStr">
        <is>
          <t>PL-143</t>
        </is>
      </c>
      <c r="B144" t="inlineStr">
        <is>
          <t>Storage</t>
        </is>
      </c>
      <c r="C144" t="inlineStr">
        <is>
          <t>HVAC</t>
        </is>
      </c>
      <c r="D144" t="inlineStr">
        <is>
          <t>Door closer speed set too fast</t>
        </is>
      </c>
      <c r="E144" t="inlineStr">
        <is>
          <t>Low</t>
        </is>
      </c>
      <c r="F144" t="inlineStr">
        <is>
          <t>R. Thompson</t>
        </is>
      </c>
      <c r="G144" s="2" t="n">
        <v>46165</v>
      </c>
      <c r="H144" s="2" t="n">
        <v>46175</v>
      </c>
      <c r="I144">
        <f>IF(G144="","",TODAY()-G144)</f>
        <v/>
      </c>
      <c r="J144" t="inlineStr">
        <is>
          <t>In Progress</t>
        </is>
      </c>
      <c r="K144" t="inlineStr">
        <is>
          <t>Inspected by M. Patel</t>
        </is>
      </c>
    </row>
    <row r="145">
      <c r="A145" t="inlineStr">
        <is>
          <t>PL-144</t>
        </is>
      </c>
      <c r="B145" t="inlineStr">
        <is>
          <t>Restroom</t>
        </is>
      </c>
      <c r="C145" t="inlineStr">
        <is>
          <t>Steel</t>
        </is>
      </c>
      <c r="D145" t="inlineStr">
        <is>
          <t>Crack in concrete slab near column B-12</t>
        </is>
      </c>
      <c r="E145" t="inlineStr">
        <is>
          <t>Medium</t>
        </is>
      </c>
      <c r="F145" t="inlineStr">
        <is>
          <t>K. Johnson</t>
        </is>
      </c>
      <c r="G145" s="2" t="n">
        <v>46176</v>
      </c>
      <c r="H145" s="2" t="n">
        <v>46194</v>
      </c>
      <c r="I145">
        <f>IF(G145="","",TODAY()-G145)</f>
        <v/>
      </c>
      <c r="J145" t="inlineStr">
        <is>
          <t>In Progress</t>
        </is>
      </c>
      <c r="K145" t="inlineStr"/>
    </row>
    <row r="146">
      <c r="A146" t="inlineStr">
        <is>
          <t>PL-145</t>
        </is>
      </c>
      <c r="B146" t="inlineStr">
        <is>
          <t>MEP Room</t>
        </is>
      </c>
      <c r="C146" t="inlineStr">
        <is>
          <t>Finish</t>
        </is>
      </c>
      <c r="D146" t="inlineStr">
        <is>
          <t>Sprinkler head paint overspray — clean</t>
        </is>
      </c>
      <c r="E146" t="inlineStr">
        <is>
          <t>Low</t>
        </is>
      </c>
      <c r="F146" t="inlineStr">
        <is>
          <t>S. Rodriguez</t>
        </is>
      </c>
      <c r="G146" s="2" t="n">
        <v>46171</v>
      </c>
      <c r="H146" s="2" t="n">
        <v>46182</v>
      </c>
      <c r="I146">
        <f>IF(G146="","",TODAY()-G146)</f>
        <v/>
      </c>
      <c r="J146" t="inlineStr">
        <is>
          <t>Ready for Review</t>
        </is>
      </c>
      <c r="K146" t="inlineStr">
        <is>
          <t>Inspected by D. Williams</t>
        </is>
      </c>
    </row>
    <row r="147">
      <c r="A147" t="inlineStr">
        <is>
          <t>PL-146</t>
        </is>
      </c>
      <c r="B147" t="inlineStr">
        <is>
          <t>Roof</t>
        </is>
      </c>
      <c r="C147" t="inlineStr">
        <is>
          <t>Plumbing</t>
        </is>
      </c>
      <c r="D147" t="inlineStr">
        <is>
          <t>ADA push plate missing on exit door</t>
        </is>
      </c>
      <c r="E147" t="inlineStr">
        <is>
          <t>Medium</t>
        </is>
      </c>
      <c r="F147" t="inlineStr">
        <is>
          <t>A. Kim</t>
        </is>
      </c>
      <c r="G147" s="2" t="n">
        <v>46101</v>
      </c>
      <c r="H147" s="2" t="n">
        <v>46109</v>
      </c>
      <c r="I147">
        <f>IF(G147="","",TODAY()-G147)</f>
        <v/>
      </c>
      <c r="J147" t="inlineStr">
        <is>
          <t>Open</t>
        </is>
      </c>
      <c r="K147" t="inlineStr"/>
    </row>
    <row r="148">
      <c r="A148" t="inlineStr">
        <is>
          <t>PL-147</t>
        </is>
      </c>
      <c r="B148" t="inlineStr">
        <is>
          <t>Roof</t>
        </is>
      </c>
      <c r="C148" t="inlineStr">
        <is>
          <t>General</t>
        </is>
      </c>
      <c r="D148" t="inlineStr">
        <is>
          <t>Window seal gap — apply silicone</t>
        </is>
      </c>
      <c r="E148" t="inlineStr">
        <is>
          <t>High</t>
        </is>
      </c>
      <c r="F148" t="inlineStr">
        <is>
          <t>K. Johnson</t>
        </is>
      </c>
      <c r="G148" s="2" t="n">
        <v>46139</v>
      </c>
      <c r="H148" s="2" t="n">
        <v>46151</v>
      </c>
      <c r="I148">
        <f>IF(G148="","",TODAY()-G148)</f>
        <v/>
      </c>
      <c r="J148" t="inlineStr">
        <is>
          <t>In Progress</t>
        </is>
      </c>
      <c r="K148" t="inlineStr"/>
    </row>
    <row r="149">
      <c r="A149" t="inlineStr">
        <is>
          <t>PL-148</t>
        </is>
      </c>
      <c r="B149" t="inlineStr">
        <is>
          <t>MEP Room</t>
        </is>
      </c>
      <c r="C149" t="inlineStr">
        <is>
          <t>HVAC</t>
        </is>
      </c>
      <c r="D149" t="inlineStr">
        <is>
          <t>Door frame not plumb — shim and adjust</t>
        </is>
      </c>
      <c r="E149" t="inlineStr">
        <is>
          <t>Medium</t>
        </is>
      </c>
      <c r="F149" t="inlineStr">
        <is>
          <t>K. Johnson</t>
        </is>
      </c>
      <c r="G149" s="2" t="n">
        <v>46129</v>
      </c>
      <c r="H149" s="2" t="n">
        <v>46155</v>
      </c>
      <c r="I149">
        <f>IF(G149="","",TODAY()-G149)</f>
        <v/>
      </c>
      <c r="J149" t="inlineStr">
        <is>
          <t>In Progress</t>
        </is>
      </c>
      <c r="K149" t="inlineStr">
        <is>
          <t>Inspected by K. Johnson</t>
        </is>
      </c>
    </row>
    <row r="150">
      <c r="A150" t="inlineStr">
        <is>
          <t>PL-149</t>
        </is>
      </c>
      <c r="B150" t="inlineStr">
        <is>
          <t>Concourse</t>
        </is>
      </c>
      <c r="C150" t="inlineStr">
        <is>
          <t>MEP</t>
        </is>
      </c>
      <c r="D150" t="inlineStr">
        <is>
          <t>Light fixture not aligned with grid</t>
        </is>
      </c>
      <c r="E150" t="inlineStr">
        <is>
          <t>High</t>
        </is>
      </c>
      <c r="F150" t="inlineStr">
        <is>
          <t>R. Thompson</t>
        </is>
      </c>
      <c r="G150" s="2" t="n">
        <v>46147</v>
      </c>
      <c r="H150" s="2" t="n">
        <v>46155</v>
      </c>
      <c r="I150">
        <f>IF(G150="","",TODAY()-G150)</f>
        <v/>
      </c>
      <c r="J150" t="inlineStr">
        <is>
          <t>Closed</t>
        </is>
      </c>
      <c r="K150" t="inlineStr"/>
    </row>
    <row r="151">
      <c r="A151" t="inlineStr">
        <is>
          <t>PL-150</t>
        </is>
      </c>
      <c r="B151" t="inlineStr">
        <is>
          <t>Stairwell</t>
        </is>
      </c>
      <c r="C151" t="inlineStr">
        <is>
          <t>Finish</t>
        </is>
      </c>
      <c r="D151" t="inlineStr">
        <is>
          <t>Expansion joint cover loose</t>
        </is>
      </c>
      <c r="E151" t="inlineStr">
        <is>
          <t>High</t>
        </is>
      </c>
      <c r="F151" t="inlineStr">
        <is>
          <t>D. Williams</t>
        </is>
      </c>
      <c r="G151" s="2" t="n">
        <v>46069</v>
      </c>
      <c r="H151" s="2" t="n">
        <v>46091</v>
      </c>
      <c r="I151">
        <f>IF(G151="","",TODAY()-G151)</f>
        <v/>
      </c>
      <c r="J151" t="inlineStr">
        <is>
          <t>Closed</t>
        </is>
      </c>
      <c r="K151" t="inlineStr">
        <is>
          <t>Inspected by S. Rodriguez</t>
        </is>
      </c>
    </row>
    <row r="152">
      <c r="A152" t="inlineStr">
        <is>
          <t>PL-151</t>
        </is>
      </c>
      <c r="B152" t="inlineStr">
        <is>
          <t>Restroom</t>
        </is>
      </c>
      <c r="C152" t="inlineStr">
        <is>
          <t>HVAC</t>
        </is>
      </c>
      <c r="D152" t="inlineStr">
        <is>
          <t>Caulking missing at countertop backsplash</t>
        </is>
      </c>
      <c r="E152" t="inlineStr">
        <is>
          <t>High</t>
        </is>
      </c>
      <c r="F152" t="inlineStr">
        <is>
          <t>D. Williams</t>
        </is>
      </c>
      <c r="G152" s="2" t="n">
        <v>46162</v>
      </c>
      <c r="H152" s="2" t="n">
        <v>46184</v>
      </c>
      <c r="I152">
        <f>IF(G152="","",TODAY()-G152)</f>
        <v/>
      </c>
      <c r="J152" t="inlineStr">
        <is>
          <t>Closed</t>
        </is>
      </c>
      <c r="K152" t="inlineStr"/>
    </row>
    <row r="153">
      <c r="A153" t="inlineStr">
        <is>
          <t>PL-152</t>
        </is>
      </c>
      <c r="B153" t="inlineStr">
        <is>
          <t>Exterior</t>
        </is>
      </c>
      <c r="C153" t="inlineStr">
        <is>
          <t>Steel</t>
        </is>
      </c>
      <c r="D153" t="inlineStr">
        <is>
          <t>Curb angle not anchored per detail</t>
        </is>
      </c>
      <c r="E153" t="inlineStr">
        <is>
          <t>High</t>
        </is>
      </c>
      <c r="F153" t="inlineStr">
        <is>
          <t>S. Rodriguez</t>
        </is>
      </c>
      <c r="G153" s="2" t="n">
        <v>46054</v>
      </c>
      <c r="H153" s="2" t="n">
        <v>46069</v>
      </c>
      <c r="I153">
        <f>IF(G153="","",TODAY()-G153)</f>
        <v/>
      </c>
      <c r="J153" t="inlineStr">
        <is>
          <t>Rejected</t>
        </is>
      </c>
      <c r="K153" t="inlineStr">
        <is>
          <t>Inspected by K. Johnson</t>
        </is>
      </c>
    </row>
    <row r="154">
      <c r="A154" t="inlineStr">
        <is>
          <t>PL-153</t>
        </is>
      </c>
      <c r="B154" t="inlineStr">
        <is>
          <t>Storage</t>
        </is>
      </c>
      <c r="C154" t="inlineStr">
        <is>
          <t>HVAC</t>
        </is>
      </c>
      <c r="D154" t="inlineStr">
        <is>
          <t>Roof membrane patched — verify watertight</t>
        </is>
      </c>
      <c r="E154" t="inlineStr">
        <is>
          <t>Critical</t>
        </is>
      </c>
      <c r="F154" t="inlineStr">
        <is>
          <t>L. Chen</t>
        </is>
      </c>
      <c r="G154" s="2" t="n">
        <v>46105</v>
      </c>
      <c r="H154" s="2" t="n">
        <v>46119</v>
      </c>
      <c r="I154">
        <f>IF(G154="","",TODAY()-G154)</f>
        <v/>
      </c>
      <c r="J154" t="inlineStr">
        <is>
          <t>Ready for Review</t>
        </is>
      </c>
      <c r="K154" t="inlineStr"/>
    </row>
    <row r="155">
      <c r="A155" t="inlineStr">
        <is>
          <t>PL-154</t>
        </is>
      </c>
      <c r="B155" t="inlineStr">
        <is>
          <t>Roof</t>
        </is>
      </c>
      <c r="C155" t="inlineStr">
        <is>
          <t>MEP</t>
        </is>
      </c>
      <c r="D155" t="inlineStr">
        <is>
          <t>Fire damper actuator not tested</t>
        </is>
      </c>
      <c r="E155" t="inlineStr">
        <is>
          <t>Medium</t>
        </is>
      </c>
      <c r="F155" t="inlineStr">
        <is>
          <t>K. Johnson</t>
        </is>
      </c>
      <c r="G155" s="2" t="n">
        <v>46124</v>
      </c>
      <c r="H155" s="2" t="n">
        <v>46150</v>
      </c>
      <c r="I155">
        <f>IF(G155="","",TODAY()-G155)</f>
        <v/>
      </c>
      <c r="J155" t="inlineStr">
        <is>
          <t>In Progress</t>
        </is>
      </c>
      <c r="K155" t="inlineStr">
        <is>
          <t>Inspected by A. Kim</t>
        </is>
      </c>
    </row>
    <row r="156">
      <c r="A156" t="inlineStr">
        <is>
          <t>PL-155</t>
        </is>
      </c>
      <c r="B156" t="inlineStr">
        <is>
          <t>MEP Room</t>
        </is>
      </c>
      <c r="C156" t="inlineStr">
        <is>
          <t>Millwork</t>
        </is>
      </c>
      <c r="D156" t="inlineStr">
        <is>
          <t>Ceiling tile stained — replace</t>
        </is>
      </c>
      <c r="E156" t="inlineStr">
        <is>
          <t>High</t>
        </is>
      </c>
      <c r="F156" t="inlineStr">
        <is>
          <t>N. Davis</t>
        </is>
      </c>
      <c r="G156" s="2" t="n">
        <v>46076</v>
      </c>
      <c r="H156" s="2" t="n">
        <v>46105</v>
      </c>
      <c r="I156">
        <f>IF(G156="","",TODAY()-G156)</f>
        <v/>
      </c>
      <c r="J156" t="inlineStr">
        <is>
          <t>Closed</t>
        </is>
      </c>
      <c r="K156" t="inlineStr"/>
    </row>
    <row r="157">
      <c r="A157" t="inlineStr">
        <is>
          <t>PL-156</t>
        </is>
      </c>
      <c r="B157" t="inlineStr">
        <is>
          <t>Concourse</t>
        </is>
      </c>
      <c r="C157" t="inlineStr">
        <is>
          <t>Painting</t>
        </is>
      </c>
      <c r="D157" t="inlineStr">
        <is>
          <t>GFCI outlet missing cover plate</t>
        </is>
      </c>
      <c r="E157" t="inlineStr">
        <is>
          <t>High</t>
        </is>
      </c>
      <c r="F157" t="inlineStr">
        <is>
          <t>L. Chen</t>
        </is>
      </c>
      <c r="G157" s="2" t="n">
        <v>46101</v>
      </c>
      <c r="H157" s="2" t="n">
        <v>46120</v>
      </c>
      <c r="I157">
        <f>IF(G157="","",TODAY()-G157)</f>
        <v/>
      </c>
      <c r="J157" t="inlineStr">
        <is>
          <t>Rejected</t>
        </is>
      </c>
      <c r="K157" t="inlineStr"/>
    </row>
    <row r="158">
      <c r="A158" t="inlineStr">
        <is>
          <t>PL-157</t>
        </is>
      </c>
      <c r="B158" t="inlineStr">
        <is>
          <t>Lobby</t>
        </is>
      </c>
      <c r="C158" t="inlineStr">
        <is>
          <t>Plumbing</t>
        </is>
      </c>
      <c r="D158" t="inlineStr">
        <is>
          <t>Light fixture not aligned with grid</t>
        </is>
      </c>
      <c r="E158" t="inlineStr">
        <is>
          <t>Low</t>
        </is>
      </c>
      <c r="F158" t="inlineStr">
        <is>
          <t>T. Brown</t>
        </is>
      </c>
      <c r="G158" s="2" t="n">
        <v>46114</v>
      </c>
      <c r="H158" s="2" t="n">
        <v>46121</v>
      </c>
      <c r="I158">
        <f>IF(G158="","",TODAY()-G158)</f>
        <v/>
      </c>
      <c r="J158" t="inlineStr">
        <is>
          <t>In Progress</t>
        </is>
      </c>
      <c r="K158" t="inlineStr">
        <is>
          <t>Inspected by N. Davis</t>
        </is>
      </c>
    </row>
    <row r="159">
      <c r="A159" t="inlineStr">
        <is>
          <t>PL-158</t>
        </is>
      </c>
      <c r="B159" t="inlineStr">
        <is>
          <t>Storage</t>
        </is>
      </c>
      <c r="C159" t="inlineStr">
        <is>
          <t>Carpentry</t>
        </is>
      </c>
      <c r="D159" t="inlineStr">
        <is>
          <t>Sprinkler head paint overspray — clean</t>
        </is>
      </c>
      <c r="E159" t="inlineStr">
        <is>
          <t>Medium</t>
        </is>
      </c>
      <c r="F159" t="inlineStr">
        <is>
          <t>D. Williams</t>
        </is>
      </c>
      <c r="G159" s="2" t="n">
        <v>46118</v>
      </c>
      <c r="H159" s="2" t="n">
        <v>46147</v>
      </c>
      <c r="I159">
        <f>IF(G159="","",TODAY()-G159)</f>
        <v/>
      </c>
      <c r="J159" t="inlineStr">
        <is>
          <t>Open</t>
        </is>
      </c>
      <c r="K159" t="inlineStr"/>
    </row>
    <row r="160">
      <c r="A160" t="inlineStr">
        <is>
          <t>PL-159</t>
        </is>
      </c>
      <c r="B160" t="inlineStr">
        <is>
          <t>Exterior</t>
        </is>
      </c>
      <c r="C160" t="inlineStr">
        <is>
          <t>MEP</t>
        </is>
      </c>
      <c r="D160" t="inlineStr">
        <is>
          <t>Baseboard gap exceeds 1/8" at joint</t>
        </is>
      </c>
      <c r="E160" t="inlineStr">
        <is>
          <t>Low</t>
        </is>
      </c>
      <c r="F160" t="inlineStr">
        <is>
          <t>K. Johnson</t>
        </is>
      </c>
      <c r="G160" s="2" t="n">
        <v>46169</v>
      </c>
      <c r="H160" s="2" t="n">
        <v>46182</v>
      </c>
      <c r="I160">
        <f>IF(G160="","",TODAY()-G160)</f>
        <v/>
      </c>
      <c r="J160" t="inlineStr">
        <is>
          <t>In Progress</t>
        </is>
      </c>
      <c r="K160" t="inlineStr">
        <is>
          <t>Inspected by R. Thompson</t>
        </is>
      </c>
    </row>
    <row r="161">
      <c r="A161" t="inlineStr">
        <is>
          <t>PL-160</t>
        </is>
      </c>
      <c r="B161" t="inlineStr">
        <is>
          <t>Suite</t>
        </is>
      </c>
      <c r="C161" t="inlineStr">
        <is>
          <t>HVAC</t>
        </is>
      </c>
      <c r="D161" t="inlineStr">
        <is>
          <t>EMT conduit support clamp missing</t>
        </is>
      </c>
      <c r="E161" t="inlineStr">
        <is>
          <t>Critical</t>
        </is>
      </c>
      <c r="F161" t="inlineStr">
        <is>
          <t>D. Williams</t>
        </is>
      </c>
      <c r="G161" s="2" t="n">
        <v>46112</v>
      </c>
      <c r="H161" s="2" t="n">
        <v>46136</v>
      </c>
      <c r="I161">
        <f>IF(G161="","",TODAY()-G161)</f>
        <v/>
      </c>
      <c r="J161" t="inlineStr">
        <is>
          <t>In Progress</t>
        </is>
      </c>
      <c r="K161" t="inlineStr"/>
    </row>
    <row r="162">
      <c r="A162" t="inlineStr">
        <is>
          <t>PL-161</t>
        </is>
      </c>
      <c r="B162" t="inlineStr">
        <is>
          <t>Stairwell</t>
        </is>
      </c>
      <c r="C162" t="inlineStr">
        <is>
          <t>Finish</t>
        </is>
      </c>
      <c r="D162" t="inlineStr">
        <is>
          <t>Rainwater downspout extension missing</t>
        </is>
      </c>
      <c r="E162" t="inlineStr">
        <is>
          <t>Critical</t>
        </is>
      </c>
      <c r="F162" t="inlineStr">
        <is>
          <t>N. Davis</t>
        </is>
      </c>
      <c r="G162" s="2" t="n">
        <v>46111</v>
      </c>
      <c r="H162" s="2" t="n">
        <v>46132</v>
      </c>
      <c r="I162">
        <f>IF(G162="","",TODAY()-G162)</f>
        <v/>
      </c>
      <c r="J162" t="inlineStr">
        <is>
          <t>Open</t>
        </is>
      </c>
      <c r="K162" t="inlineStr"/>
    </row>
    <row r="163">
      <c r="A163" t="inlineStr">
        <is>
          <t>PL-162</t>
        </is>
      </c>
      <c r="B163" t="inlineStr">
        <is>
          <t>Lobby</t>
        </is>
      </c>
      <c r="C163" t="inlineStr">
        <is>
          <t>Flooring</t>
        </is>
      </c>
      <c r="D163" t="inlineStr">
        <is>
          <t>Expansion joint cover loose</t>
        </is>
      </c>
      <c r="E163" t="inlineStr">
        <is>
          <t>Medium</t>
        </is>
      </c>
      <c r="F163" t="inlineStr">
        <is>
          <t>A. Kim</t>
        </is>
      </c>
      <c r="G163" s="2" t="n">
        <v>46101</v>
      </c>
      <c r="H163" s="2" t="n">
        <v>46131</v>
      </c>
      <c r="I163">
        <f>IF(G163="","",TODAY()-G163)</f>
        <v/>
      </c>
      <c r="J163" t="inlineStr">
        <is>
          <t>Closed</t>
        </is>
      </c>
      <c r="K163" t="inlineStr">
        <is>
          <t>Inspected by R. Thompson</t>
        </is>
      </c>
    </row>
    <row r="164">
      <c r="A164" t="inlineStr">
        <is>
          <t>PL-163</t>
        </is>
      </c>
      <c r="B164" t="inlineStr">
        <is>
          <t>Field</t>
        </is>
      </c>
      <c r="C164" t="inlineStr">
        <is>
          <t>MEP</t>
        </is>
      </c>
      <c r="D164" t="inlineStr">
        <is>
          <t>Light fixture not aligned with grid</t>
        </is>
      </c>
      <c r="E164" t="inlineStr">
        <is>
          <t>Low</t>
        </is>
      </c>
      <c r="F164" t="inlineStr">
        <is>
          <t>T. Brown</t>
        </is>
      </c>
      <c r="G164" s="2" t="n">
        <v>46106</v>
      </c>
      <c r="H164" s="2" t="n">
        <v>46126</v>
      </c>
      <c r="I164">
        <f>IF(G164="","",TODAY()-G164)</f>
        <v/>
      </c>
      <c r="J164" t="inlineStr">
        <is>
          <t>In Progress</t>
        </is>
      </c>
      <c r="K164" t="inlineStr">
        <is>
          <t>Inspected by R. Thompson</t>
        </is>
      </c>
    </row>
    <row r="165">
      <c r="A165" t="inlineStr">
        <is>
          <t>PL-164</t>
        </is>
      </c>
      <c r="B165" t="inlineStr">
        <is>
          <t>MEP Room</t>
        </is>
      </c>
      <c r="C165" t="inlineStr">
        <is>
          <t>Carpentry</t>
        </is>
      </c>
      <c r="D165" t="inlineStr">
        <is>
          <t>Door closer speed set too fast</t>
        </is>
      </c>
      <c r="E165" t="inlineStr">
        <is>
          <t>Low</t>
        </is>
      </c>
      <c r="F165" t="inlineStr">
        <is>
          <t>M. Patel</t>
        </is>
      </c>
      <c r="G165" s="2" t="n">
        <v>46170</v>
      </c>
      <c r="H165" s="2" t="n">
        <v>46199</v>
      </c>
      <c r="I165">
        <f>IF(G165="","",TODAY()-G165)</f>
        <v/>
      </c>
      <c r="J165" t="inlineStr">
        <is>
          <t>Rejected</t>
        </is>
      </c>
      <c r="K165" t="inlineStr">
        <is>
          <t>Inspected by T. Brown</t>
        </is>
      </c>
    </row>
    <row r="166">
      <c r="A166" t="inlineStr">
        <is>
          <t>PL-165</t>
        </is>
      </c>
      <c r="B166" t="inlineStr">
        <is>
          <t>Restroom</t>
        </is>
      </c>
      <c r="C166" t="inlineStr">
        <is>
          <t>HVAC</t>
        </is>
      </c>
      <c r="D166" t="inlineStr">
        <is>
          <t>Window seal gap — apply silicone</t>
        </is>
      </c>
      <c r="E166" t="inlineStr">
        <is>
          <t>Critical</t>
        </is>
      </c>
      <c r="F166" t="inlineStr">
        <is>
          <t>R. Thompson</t>
        </is>
      </c>
      <c r="G166" s="2" t="n">
        <v>46177</v>
      </c>
      <c r="H166" s="2" t="n">
        <v>46185</v>
      </c>
      <c r="I166">
        <f>IF(G166="","",TODAY()-G166)</f>
        <v/>
      </c>
      <c r="J166" t="inlineStr">
        <is>
          <t>Open</t>
        </is>
      </c>
      <c r="K166" t="inlineStr"/>
    </row>
    <row r="167">
      <c r="A167" t="inlineStr">
        <is>
          <t>PL-166</t>
        </is>
      </c>
      <c r="B167" t="inlineStr">
        <is>
          <t>Stairwell</t>
        </is>
      </c>
      <c r="C167" t="inlineStr">
        <is>
          <t>MEP</t>
        </is>
      </c>
      <c r="D167" t="inlineStr">
        <is>
          <t>Sprinkler head paint overspray — clean</t>
        </is>
      </c>
      <c r="E167" t="inlineStr">
        <is>
          <t>Medium</t>
        </is>
      </c>
      <c r="F167" t="inlineStr">
        <is>
          <t>M. Patel</t>
        </is>
      </c>
      <c r="G167" s="2" t="n">
        <v>46174</v>
      </c>
      <c r="H167" s="2" t="n">
        <v>46200</v>
      </c>
      <c r="I167">
        <f>IF(G167="","",TODAY()-G167)</f>
        <v/>
      </c>
      <c r="J167" t="inlineStr">
        <is>
          <t>Open</t>
        </is>
      </c>
      <c r="K167" t="inlineStr"/>
    </row>
    <row r="168">
      <c r="A168" t="inlineStr">
        <is>
          <t>PL-167</t>
        </is>
      </c>
      <c r="B168" t="inlineStr">
        <is>
          <t>Roof</t>
        </is>
      </c>
      <c r="C168" t="inlineStr">
        <is>
          <t>MEP</t>
        </is>
      </c>
      <c r="D168" t="inlineStr">
        <is>
          <t>Mirror damaged in west restroom</t>
        </is>
      </c>
      <c r="E168" t="inlineStr">
        <is>
          <t>High</t>
        </is>
      </c>
      <c r="F168" t="inlineStr">
        <is>
          <t>M. Patel</t>
        </is>
      </c>
      <c r="G168" s="2" t="n">
        <v>46047</v>
      </c>
      <c r="H168" s="2" t="n">
        <v>46071</v>
      </c>
      <c r="I168">
        <f>IF(G168="","",TODAY()-G168)</f>
        <v/>
      </c>
      <c r="J168" t="inlineStr">
        <is>
          <t>Closed</t>
        </is>
      </c>
      <c r="K168" t="inlineStr">
        <is>
          <t>Inspected by R. Thompson</t>
        </is>
      </c>
    </row>
    <row r="169">
      <c r="A169" t="inlineStr">
        <is>
          <t>PL-168</t>
        </is>
      </c>
      <c r="B169" t="inlineStr">
        <is>
          <t>Stairwell</t>
        </is>
      </c>
      <c r="C169" t="inlineStr">
        <is>
          <t>MEP</t>
        </is>
      </c>
      <c r="D169" t="inlineStr">
        <is>
          <t>Crack in concrete slab near column B-12</t>
        </is>
      </c>
      <c r="E169" t="inlineStr">
        <is>
          <t>Medium</t>
        </is>
      </c>
      <c r="F169" t="inlineStr">
        <is>
          <t>T. Brown</t>
        </is>
      </c>
      <c r="G169" s="2" t="n">
        <v>46071</v>
      </c>
      <c r="H169" s="2" t="n">
        <v>46082</v>
      </c>
      <c r="I169">
        <f>IF(G169="","",TODAY()-G169)</f>
        <v/>
      </c>
      <c r="J169" t="inlineStr">
        <is>
          <t>Open</t>
        </is>
      </c>
      <c r="K169" t="inlineStr"/>
    </row>
    <row r="170">
      <c r="A170" t="inlineStr">
        <is>
          <t>PL-169</t>
        </is>
      </c>
      <c r="B170" t="inlineStr">
        <is>
          <t>MEP Room</t>
        </is>
      </c>
      <c r="C170" t="inlineStr">
        <is>
          <t>Flooring</t>
        </is>
      </c>
      <c r="D170" t="inlineStr">
        <is>
          <t>Caulking missing at countertop backsplash</t>
        </is>
      </c>
      <c r="E170" t="inlineStr">
        <is>
          <t>High</t>
        </is>
      </c>
      <c r="F170" t="inlineStr">
        <is>
          <t>T. Brown</t>
        </is>
      </c>
      <c r="G170" s="2" t="n">
        <v>46163</v>
      </c>
      <c r="H170" s="2" t="n">
        <v>46180</v>
      </c>
      <c r="I170">
        <f>IF(G170="","",TODAY()-G170)</f>
        <v/>
      </c>
      <c r="J170" t="inlineStr">
        <is>
          <t>In Progress</t>
        </is>
      </c>
      <c r="K170" t="inlineStr">
        <is>
          <t>Inspected by D. Williams</t>
        </is>
      </c>
    </row>
    <row r="171">
      <c r="A171" t="inlineStr">
        <is>
          <t>PL-170</t>
        </is>
      </c>
      <c r="B171" t="inlineStr">
        <is>
          <t>Lobby</t>
        </is>
      </c>
      <c r="C171" t="inlineStr">
        <is>
          <t>Flooring</t>
        </is>
      </c>
      <c r="D171" t="inlineStr">
        <is>
          <t>Paint touch-up required on south wall</t>
        </is>
      </c>
      <c r="E171" t="inlineStr">
        <is>
          <t>Low</t>
        </is>
      </c>
      <c r="F171" t="inlineStr">
        <is>
          <t>M. Patel</t>
        </is>
      </c>
      <c r="G171" s="2" t="n">
        <v>46167</v>
      </c>
      <c r="H171" s="2" t="n">
        <v>46196</v>
      </c>
      <c r="I171">
        <f>IF(G171="","",TODAY()-G171)</f>
        <v/>
      </c>
      <c r="J171" t="inlineStr">
        <is>
          <t>Open</t>
        </is>
      </c>
      <c r="K171" t="inlineStr"/>
    </row>
    <row r="172">
      <c r="A172" t="inlineStr">
        <is>
          <t>PL-171</t>
        </is>
      </c>
      <c r="B172" t="inlineStr">
        <is>
          <t>Field</t>
        </is>
      </c>
      <c r="C172" t="inlineStr">
        <is>
          <t>General</t>
        </is>
      </c>
      <c r="D172" t="inlineStr">
        <is>
          <t>Caulking missing at countertop backsplash</t>
        </is>
      </c>
      <c r="E172" t="inlineStr">
        <is>
          <t>High</t>
        </is>
      </c>
      <c r="F172" t="inlineStr">
        <is>
          <t>T. Brown</t>
        </is>
      </c>
      <c r="G172" s="2" t="n">
        <v>46120</v>
      </c>
      <c r="H172" s="2" t="n">
        <v>46149</v>
      </c>
      <c r="I172">
        <f>IF(G172="","",TODAY()-G172)</f>
        <v/>
      </c>
      <c r="J172" t="inlineStr">
        <is>
          <t>Open</t>
        </is>
      </c>
      <c r="K172" t="inlineStr"/>
    </row>
    <row r="173">
      <c r="A173" t="inlineStr">
        <is>
          <t>PL-172</t>
        </is>
      </c>
      <c r="B173" t="inlineStr">
        <is>
          <t>Exterior</t>
        </is>
      </c>
      <c r="C173" t="inlineStr">
        <is>
          <t>Glass/Glazing</t>
        </is>
      </c>
      <c r="D173" t="inlineStr">
        <is>
          <t>EMT conduit support clamp missing</t>
        </is>
      </c>
      <c r="E173" t="inlineStr">
        <is>
          <t>High</t>
        </is>
      </c>
      <c r="F173" t="inlineStr">
        <is>
          <t>M. Patel</t>
        </is>
      </c>
      <c r="G173" s="2" t="n">
        <v>46101</v>
      </c>
      <c r="H173" s="2" t="n">
        <v>46116</v>
      </c>
      <c r="I173">
        <f>IF(G173="","",TODAY()-G173)</f>
        <v/>
      </c>
      <c r="J173" t="inlineStr">
        <is>
          <t>Closed</t>
        </is>
      </c>
      <c r="K173" t="inlineStr">
        <is>
          <t>Inspected by D. Williams</t>
        </is>
      </c>
    </row>
    <row r="174">
      <c r="A174" t="inlineStr">
        <is>
          <t>PL-173</t>
        </is>
      </c>
      <c r="B174" t="inlineStr">
        <is>
          <t>Concourse</t>
        </is>
      </c>
      <c r="C174" t="inlineStr">
        <is>
          <t>Steel</t>
        </is>
      </c>
      <c r="D174" t="inlineStr">
        <is>
          <t>Millwork edge banding peeling on cabinet</t>
        </is>
      </c>
      <c r="E174" t="inlineStr">
        <is>
          <t>Low</t>
        </is>
      </c>
      <c r="F174" t="inlineStr">
        <is>
          <t>T. Brown</t>
        </is>
      </c>
      <c r="G174" s="2" t="n">
        <v>46093</v>
      </c>
      <c r="H174" s="2" t="n">
        <v>46109</v>
      </c>
      <c r="I174">
        <f>IF(G174="","",TODAY()-G174)</f>
        <v/>
      </c>
      <c r="J174" t="inlineStr">
        <is>
          <t>Closed</t>
        </is>
      </c>
      <c r="K174" t="inlineStr">
        <is>
          <t>Inspected by D. Williams</t>
        </is>
      </c>
    </row>
    <row r="175">
      <c r="A175" t="inlineStr">
        <is>
          <t>PL-174</t>
        </is>
      </c>
      <c r="B175" t="inlineStr">
        <is>
          <t>Stairwell</t>
        </is>
      </c>
      <c r="C175" t="inlineStr">
        <is>
          <t>Steel</t>
        </is>
      </c>
      <c r="D175" t="inlineStr">
        <is>
          <t>Millwork edge banding peeling on cabinet</t>
        </is>
      </c>
      <c r="E175" t="inlineStr">
        <is>
          <t>High</t>
        </is>
      </c>
      <c r="F175" t="inlineStr">
        <is>
          <t>K. Johnson</t>
        </is>
      </c>
      <c r="G175" s="2" t="n">
        <v>46038</v>
      </c>
      <c r="H175" s="2" t="n">
        <v>46064</v>
      </c>
      <c r="I175">
        <f>IF(G175="","",TODAY()-G175)</f>
        <v/>
      </c>
      <c r="J175" t="inlineStr">
        <is>
          <t>Closed</t>
        </is>
      </c>
      <c r="K175" t="inlineStr"/>
    </row>
    <row r="176">
      <c r="A176" t="inlineStr">
        <is>
          <t>PL-175</t>
        </is>
      </c>
      <c r="B176" t="inlineStr">
        <is>
          <t>Concourse</t>
        </is>
      </c>
      <c r="C176" t="inlineStr">
        <is>
          <t>HVAC</t>
        </is>
      </c>
      <c r="D176" t="inlineStr">
        <is>
          <t>HVAC duct insulation gap at return plenum</t>
        </is>
      </c>
      <c r="E176" t="inlineStr">
        <is>
          <t>Medium</t>
        </is>
      </c>
      <c r="F176" t="inlineStr">
        <is>
          <t>R. Thompson</t>
        </is>
      </c>
      <c r="G176" s="2" t="n">
        <v>46118</v>
      </c>
      <c r="H176" s="2" t="n">
        <v>46139</v>
      </c>
      <c r="I176">
        <f>IF(G176="","",TODAY()-G176)</f>
        <v/>
      </c>
      <c r="J176" t="inlineStr">
        <is>
          <t>Ready for Review</t>
        </is>
      </c>
      <c r="K176" t="inlineStr">
        <is>
          <t>Inspected by K. Johnson</t>
        </is>
      </c>
    </row>
    <row r="177">
      <c r="A177" t="inlineStr">
        <is>
          <t>PL-176</t>
        </is>
      </c>
      <c r="B177" t="inlineStr">
        <is>
          <t>Concourse</t>
        </is>
      </c>
      <c r="C177" t="inlineStr">
        <is>
          <t>Glass/Glazing</t>
        </is>
      </c>
      <c r="D177" t="inlineStr">
        <is>
          <t>Light fixture not aligned with grid</t>
        </is>
      </c>
      <c r="E177" t="inlineStr">
        <is>
          <t>Low</t>
        </is>
      </c>
      <c r="F177" t="inlineStr">
        <is>
          <t>R. Thompson</t>
        </is>
      </c>
      <c r="G177" s="2" t="n">
        <v>46068</v>
      </c>
      <c r="H177" s="2" t="n">
        <v>46098</v>
      </c>
      <c r="I177">
        <f>IF(G177="","",TODAY()-G177)</f>
        <v/>
      </c>
      <c r="J177" t="inlineStr">
        <is>
          <t>Closed</t>
        </is>
      </c>
      <c r="K177" t="inlineStr">
        <is>
          <t>Inspected by A. Kim</t>
        </is>
      </c>
    </row>
    <row r="178">
      <c r="A178" t="inlineStr">
        <is>
          <t>PL-177</t>
        </is>
      </c>
      <c r="B178" t="inlineStr">
        <is>
          <t>Roof</t>
        </is>
      </c>
      <c r="C178" t="inlineStr">
        <is>
          <t>Steel</t>
        </is>
      </c>
      <c r="D178" t="inlineStr">
        <is>
          <t>Ceiling tile stained — replace</t>
        </is>
      </c>
      <c r="E178" t="inlineStr">
        <is>
          <t>Low</t>
        </is>
      </c>
      <c r="F178" t="inlineStr">
        <is>
          <t>R. Thompson</t>
        </is>
      </c>
      <c r="G178" s="2" t="n">
        <v>46137</v>
      </c>
      <c r="H178" s="2" t="n">
        <v>46155</v>
      </c>
      <c r="I178">
        <f>IF(G178="","",TODAY()-G178)</f>
        <v/>
      </c>
      <c r="J178" t="inlineStr">
        <is>
          <t>Open</t>
        </is>
      </c>
      <c r="K178" t="inlineStr"/>
    </row>
    <row r="179">
      <c r="A179" t="inlineStr">
        <is>
          <t>PL-178</t>
        </is>
      </c>
      <c r="B179" t="inlineStr">
        <is>
          <t>Concourse</t>
        </is>
      </c>
      <c r="C179" t="inlineStr">
        <is>
          <t>General</t>
        </is>
      </c>
      <c r="D179" t="inlineStr">
        <is>
          <t>EMT conduit support clamp missing</t>
        </is>
      </c>
      <c r="E179" t="inlineStr">
        <is>
          <t>Critical</t>
        </is>
      </c>
      <c r="F179" t="inlineStr">
        <is>
          <t>J. Garcia</t>
        </is>
      </c>
      <c r="G179" s="2" t="n">
        <v>46114</v>
      </c>
      <c r="H179" s="2" t="n">
        <v>46129</v>
      </c>
      <c r="I179">
        <f>IF(G179="","",TODAY()-G179)</f>
        <v/>
      </c>
      <c r="J179" t="inlineStr">
        <is>
          <t>In Progress</t>
        </is>
      </c>
      <c r="K179" t="inlineStr">
        <is>
          <t>Inspected by M. Patel</t>
        </is>
      </c>
    </row>
    <row r="180">
      <c r="A180" t="inlineStr">
        <is>
          <t>PL-179</t>
        </is>
      </c>
      <c r="B180" t="inlineStr">
        <is>
          <t>Stairwell</t>
        </is>
      </c>
      <c r="C180" t="inlineStr">
        <is>
          <t>Electrical</t>
        </is>
      </c>
      <c r="D180" t="inlineStr">
        <is>
          <t>Handrail bracket loose on stairway</t>
        </is>
      </c>
      <c r="E180" t="inlineStr">
        <is>
          <t>High</t>
        </is>
      </c>
      <c r="F180" t="inlineStr">
        <is>
          <t>K. Johnson</t>
        </is>
      </c>
      <c r="G180" s="2" t="n">
        <v>46102</v>
      </c>
      <c r="H180" s="2" t="n">
        <v>46110</v>
      </c>
      <c r="I180">
        <f>IF(G180="","",TODAY()-G180)</f>
        <v/>
      </c>
      <c r="J180" t="inlineStr">
        <is>
          <t>Closed</t>
        </is>
      </c>
      <c r="K180" t="inlineStr">
        <is>
          <t>Inspected by D. Williams</t>
        </is>
      </c>
    </row>
    <row r="181">
      <c r="A181" t="inlineStr">
        <is>
          <t>PL-180</t>
        </is>
      </c>
      <c r="B181" t="inlineStr">
        <is>
          <t>Restroom</t>
        </is>
      </c>
      <c r="C181" t="inlineStr">
        <is>
          <t>Steel</t>
        </is>
      </c>
      <c r="D181" t="inlineStr">
        <is>
          <t>Handrail bracket loose on stairway</t>
        </is>
      </c>
      <c r="E181" t="inlineStr">
        <is>
          <t>Low</t>
        </is>
      </c>
      <c r="F181" t="inlineStr">
        <is>
          <t>L. Chen</t>
        </is>
      </c>
      <c r="G181" s="2" t="n">
        <v>46061</v>
      </c>
      <c r="H181" s="2" t="n">
        <v>46071</v>
      </c>
      <c r="I181">
        <f>IF(G181="","",TODAY()-G181)</f>
        <v/>
      </c>
      <c r="J181" t="inlineStr">
        <is>
          <t>Open</t>
        </is>
      </c>
      <c r="K181" t="inlineStr">
        <is>
          <t>Inspected by A. Kim</t>
        </is>
      </c>
    </row>
    <row r="182">
      <c r="A182" t="inlineStr">
        <is>
          <t>PL-181</t>
        </is>
      </c>
      <c r="B182" t="inlineStr">
        <is>
          <t>Lobby</t>
        </is>
      </c>
      <c r="C182" t="inlineStr">
        <is>
          <t>Glass/Glazing</t>
        </is>
      </c>
      <c r="D182" t="inlineStr">
        <is>
          <t>Signage panel not level</t>
        </is>
      </c>
      <c r="E182" t="inlineStr">
        <is>
          <t>Medium</t>
        </is>
      </c>
      <c r="F182" t="inlineStr">
        <is>
          <t>M. Patel</t>
        </is>
      </c>
      <c r="G182" s="2" t="n">
        <v>46065</v>
      </c>
      <c r="H182" s="2" t="n">
        <v>46072</v>
      </c>
      <c r="I182">
        <f>IF(G182="","",TODAY()-G182)</f>
        <v/>
      </c>
      <c r="J182" t="inlineStr">
        <is>
          <t>Closed</t>
        </is>
      </c>
      <c r="K182" t="inlineStr"/>
    </row>
    <row r="183">
      <c r="A183" t="inlineStr">
        <is>
          <t>PL-182</t>
        </is>
      </c>
      <c r="B183" t="inlineStr">
        <is>
          <t>Stairwell</t>
        </is>
      </c>
      <c r="C183" t="inlineStr">
        <is>
          <t>Steel</t>
        </is>
      </c>
      <c r="D183" t="inlineStr">
        <is>
          <t>Baseboard gap exceeds 1/8" at joint</t>
        </is>
      </c>
      <c r="E183" t="inlineStr">
        <is>
          <t>High</t>
        </is>
      </c>
      <c r="F183" t="inlineStr">
        <is>
          <t>N. Davis</t>
        </is>
      </c>
      <c r="G183" s="2" t="n">
        <v>46138</v>
      </c>
      <c r="H183" s="2" t="n">
        <v>46151</v>
      </c>
      <c r="I183">
        <f>IF(G183="","",TODAY()-G183)</f>
        <v/>
      </c>
      <c r="J183" t="inlineStr">
        <is>
          <t>Closed</t>
        </is>
      </c>
      <c r="K183" t="inlineStr"/>
    </row>
    <row r="184">
      <c r="A184" t="inlineStr">
        <is>
          <t>PL-183</t>
        </is>
      </c>
      <c r="B184" t="inlineStr">
        <is>
          <t>Concourse</t>
        </is>
      </c>
      <c r="C184" t="inlineStr">
        <is>
          <t>Concrete</t>
        </is>
      </c>
      <c r="D184" t="inlineStr">
        <is>
          <t>ADA push plate missing on exit door</t>
        </is>
      </c>
      <c r="E184" t="inlineStr">
        <is>
          <t>Medium</t>
        </is>
      </c>
      <c r="F184" t="inlineStr">
        <is>
          <t>T. Brown</t>
        </is>
      </c>
      <c r="G184" s="2" t="n">
        <v>46080</v>
      </c>
      <c r="H184" s="2" t="n">
        <v>46108</v>
      </c>
      <c r="I184">
        <f>IF(G184="","",TODAY()-G184)</f>
        <v/>
      </c>
      <c r="J184" t="inlineStr">
        <is>
          <t>Closed</t>
        </is>
      </c>
      <c r="K184" t="inlineStr">
        <is>
          <t>Inspected by A. Kim</t>
        </is>
      </c>
    </row>
    <row r="185">
      <c r="A185" t="inlineStr">
        <is>
          <t>PL-184</t>
        </is>
      </c>
      <c r="B185" t="inlineStr">
        <is>
          <t>Concourse</t>
        </is>
      </c>
      <c r="C185" t="inlineStr">
        <is>
          <t>Carpentry</t>
        </is>
      </c>
      <c r="D185" t="inlineStr">
        <is>
          <t>ADA push plate missing on exit door</t>
        </is>
      </c>
      <c r="E185" t="inlineStr">
        <is>
          <t>Low</t>
        </is>
      </c>
      <c r="F185" t="inlineStr">
        <is>
          <t>N. Davis</t>
        </is>
      </c>
      <c r="G185" s="2" t="n">
        <v>46103</v>
      </c>
      <c r="H185" s="2" t="n">
        <v>46118</v>
      </c>
      <c r="I185">
        <f>IF(G185="","",TODAY()-G185)</f>
        <v/>
      </c>
      <c r="J185" t="inlineStr">
        <is>
          <t>Closed</t>
        </is>
      </c>
      <c r="K185" t="inlineStr">
        <is>
          <t>Inspected by T. Brown</t>
        </is>
      </c>
    </row>
    <row r="186">
      <c r="A186" t="inlineStr">
        <is>
          <t>PL-185</t>
        </is>
      </c>
      <c r="B186" t="inlineStr">
        <is>
          <t>Field</t>
        </is>
      </c>
      <c r="C186" t="inlineStr">
        <is>
          <t>Steel</t>
        </is>
      </c>
      <c r="D186" t="inlineStr">
        <is>
          <t>Light fixture not aligned with grid</t>
        </is>
      </c>
      <c r="E186" t="inlineStr">
        <is>
          <t>Medium</t>
        </is>
      </c>
      <c r="F186" t="inlineStr">
        <is>
          <t>A. Kim</t>
        </is>
      </c>
      <c r="G186" s="2" t="n">
        <v>46038</v>
      </c>
      <c r="H186" s="2" t="n">
        <v>46054</v>
      </c>
      <c r="I186">
        <f>IF(G186="","",TODAY()-G186)</f>
        <v/>
      </c>
      <c r="J186" t="inlineStr">
        <is>
          <t>Open</t>
        </is>
      </c>
      <c r="K186" t="inlineStr"/>
    </row>
    <row r="187">
      <c r="A187" t="inlineStr">
        <is>
          <t>PL-186</t>
        </is>
      </c>
      <c r="B187" t="inlineStr">
        <is>
          <t>MEP Room</t>
        </is>
      </c>
      <c r="C187" t="inlineStr">
        <is>
          <t>Flooring</t>
        </is>
      </c>
      <c r="D187" t="inlineStr">
        <is>
          <t>Curb angle not anchored per detail</t>
        </is>
      </c>
      <c r="E187" t="inlineStr">
        <is>
          <t>High</t>
        </is>
      </c>
      <c r="F187" t="inlineStr">
        <is>
          <t>J. Garcia</t>
        </is>
      </c>
      <c r="G187" s="2" t="n">
        <v>46040</v>
      </c>
      <c r="H187" s="2" t="n">
        <v>46057</v>
      </c>
      <c r="I187">
        <f>IF(G187="","",TODAY()-G187)</f>
        <v/>
      </c>
      <c r="J187" t="inlineStr">
        <is>
          <t>Closed</t>
        </is>
      </c>
      <c r="K187" t="inlineStr">
        <is>
          <t>Inspected by K. Johnson</t>
        </is>
      </c>
    </row>
    <row r="188">
      <c r="A188" t="inlineStr">
        <is>
          <t>PL-187</t>
        </is>
      </c>
      <c r="B188" t="inlineStr">
        <is>
          <t>Stairwell</t>
        </is>
      </c>
      <c r="C188" t="inlineStr">
        <is>
          <t>Electrical</t>
        </is>
      </c>
      <c r="D188" t="inlineStr">
        <is>
          <t>Ceiling tile stained — replace</t>
        </is>
      </c>
      <c r="E188" t="inlineStr">
        <is>
          <t>High</t>
        </is>
      </c>
      <c r="F188" t="inlineStr">
        <is>
          <t>D. Williams</t>
        </is>
      </c>
      <c r="G188" s="2" t="n">
        <v>46174</v>
      </c>
      <c r="H188" s="2" t="n">
        <v>46185</v>
      </c>
      <c r="I188">
        <f>IF(G188="","",TODAY()-G188)</f>
        <v/>
      </c>
      <c r="J188" t="inlineStr">
        <is>
          <t>Open</t>
        </is>
      </c>
      <c r="K188" t="inlineStr"/>
    </row>
    <row r="189">
      <c r="A189" t="inlineStr">
        <is>
          <t>PL-188</t>
        </is>
      </c>
      <c r="B189" t="inlineStr">
        <is>
          <t>Suite</t>
        </is>
      </c>
      <c r="C189" t="inlineStr">
        <is>
          <t>Carpentry</t>
        </is>
      </c>
      <c r="D189" t="inlineStr">
        <is>
          <t>Missing fire caulking at pipe penetration</t>
        </is>
      </c>
      <c r="E189" t="inlineStr">
        <is>
          <t>High</t>
        </is>
      </c>
      <c r="F189" t="inlineStr">
        <is>
          <t>K. Johnson</t>
        </is>
      </c>
      <c r="G189" s="2" t="n">
        <v>46172</v>
      </c>
      <c r="H189" s="2" t="n">
        <v>46193</v>
      </c>
      <c r="I189">
        <f>IF(G189="","",TODAY()-G189)</f>
        <v/>
      </c>
      <c r="J189" t="inlineStr">
        <is>
          <t>Closed</t>
        </is>
      </c>
      <c r="K189" t="inlineStr"/>
    </row>
    <row r="190">
      <c r="A190" t="inlineStr">
        <is>
          <t>PL-189</t>
        </is>
      </c>
      <c r="B190" t="inlineStr">
        <is>
          <t>Exterior</t>
        </is>
      </c>
      <c r="C190" t="inlineStr">
        <is>
          <t>General</t>
        </is>
      </c>
      <c r="D190" t="inlineStr">
        <is>
          <t>Window seal gap — apply silicone</t>
        </is>
      </c>
      <c r="E190" t="inlineStr">
        <is>
          <t>Critical</t>
        </is>
      </c>
      <c r="F190" t="inlineStr">
        <is>
          <t>D. Williams</t>
        </is>
      </c>
      <c r="G190" s="2" t="n">
        <v>46107</v>
      </c>
      <c r="H190" s="2" t="n">
        <v>46114</v>
      </c>
      <c r="I190">
        <f>IF(G190="","",TODAY()-G190)</f>
        <v/>
      </c>
      <c r="J190" t="inlineStr">
        <is>
          <t>Closed</t>
        </is>
      </c>
      <c r="K190" t="inlineStr"/>
    </row>
    <row r="191">
      <c r="A191" t="inlineStr">
        <is>
          <t>PL-190</t>
        </is>
      </c>
      <c r="B191" t="inlineStr">
        <is>
          <t>Suite</t>
        </is>
      </c>
      <c r="C191" t="inlineStr">
        <is>
          <t>Painting</t>
        </is>
      </c>
      <c r="D191" t="inlineStr">
        <is>
          <t>Curb angle not anchored per detail</t>
        </is>
      </c>
      <c r="E191" t="inlineStr">
        <is>
          <t>Critical</t>
        </is>
      </c>
      <c r="F191" t="inlineStr">
        <is>
          <t>D. Williams</t>
        </is>
      </c>
      <c r="G191" s="2" t="n">
        <v>46148</v>
      </c>
      <c r="H191" s="2" t="n">
        <v>46164</v>
      </c>
      <c r="I191">
        <f>IF(G191="","",TODAY()-G191)</f>
        <v/>
      </c>
      <c r="J191" t="inlineStr">
        <is>
          <t>Open</t>
        </is>
      </c>
      <c r="K191" t="inlineStr">
        <is>
          <t>Inspected by L. Chen</t>
        </is>
      </c>
    </row>
    <row r="192">
      <c r="A192" t="inlineStr">
        <is>
          <t>PL-191</t>
        </is>
      </c>
      <c r="B192" t="inlineStr">
        <is>
          <t>Stairwell</t>
        </is>
      </c>
      <c r="C192" t="inlineStr">
        <is>
          <t>Plumbing</t>
        </is>
      </c>
      <c r="D192" t="inlineStr">
        <is>
          <t>Crack in concrete slab near column B-12</t>
        </is>
      </c>
      <c r="E192" t="inlineStr">
        <is>
          <t>High</t>
        </is>
      </c>
      <c r="F192" t="inlineStr">
        <is>
          <t>T. Brown</t>
        </is>
      </c>
      <c r="G192" s="2" t="n">
        <v>46162</v>
      </c>
      <c r="H192" s="2" t="n">
        <v>46184</v>
      </c>
      <c r="I192">
        <f>IF(G192="","",TODAY()-G192)</f>
        <v/>
      </c>
      <c r="J192" t="inlineStr">
        <is>
          <t>Closed</t>
        </is>
      </c>
      <c r="K192" t="inlineStr">
        <is>
          <t>Inspected by R. Thompson</t>
        </is>
      </c>
    </row>
    <row r="193">
      <c r="A193" t="inlineStr">
        <is>
          <t>PL-192</t>
        </is>
      </c>
      <c r="B193" t="inlineStr">
        <is>
          <t>Roof</t>
        </is>
      </c>
      <c r="C193" t="inlineStr">
        <is>
          <t>Flooring</t>
        </is>
      </c>
      <c r="D193" t="inlineStr">
        <is>
          <t>Door frame not plumb — shim and adjust</t>
        </is>
      </c>
      <c r="E193" t="inlineStr">
        <is>
          <t>Medium</t>
        </is>
      </c>
      <c r="F193" t="inlineStr">
        <is>
          <t>N. Davis</t>
        </is>
      </c>
      <c r="G193" s="2" t="n">
        <v>46058</v>
      </c>
      <c r="H193" s="2" t="n">
        <v>46080</v>
      </c>
      <c r="I193">
        <f>IF(G193="","",TODAY()-G193)</f>
        <v/>
      </c>
      <c r="J193" t="inlineStr">
        <is>
          <t>Open</t>
        </is>
      </c>
      <c r="K193" t="inlineStr">
        <is>
          <t>Inspected by N. Davis</t>
        </is>
      </c>
    </row>
    <row r="194">
      <c r="A194" t="inlineStr">
        <is>
          <t>PL-193</t>
        </is>
      </c>
      <c r="B194" t="inlineStr">
        <is>
          <t>Suite</t>
        </is>
      </c>
      <c r="C194" t="inlineStr">
        <is>
          <t>Painting</t>
        </is>
      </c>
      <c r="D194" t="inlineStr">
        <is>
          <t>Roof membrane patched — verify watertight</t>
        </is>
      </c>
      <c r="E194" t="inlineStr">
        <is>
          <t>High</t>
        </is>
      </c>
      <c r="F194" t="inlineStr">
        <is>
          <t>J. Garcia</t>
        </is>
      </c>
      <c r="G194" s="2" t="n">
        <v>46079</v>
      </c>
      <c r="H194" s="2" t="n">
        <v>46096</v>
      </c>
      <c r="I194">
        <f>IF(G194="","",TODAY()-G194)</f>
        <v/>
      </c>
      <c r="J194" t="inlineStr">
        <is>
          <t>Open</t>
        </is>
      </c>
      <c r="K194" t="inlineStr"/>
    </row>
    <row r="195">
      <c r="A195" t="inlineStr">
        <is>
          <t>PL-194</t>
        </is>
      </c>
      <c r="B195" t="inlineStr">
        <is>
          <t>Suite</t>
        </is>
      </c>
      <c r="C195" t="inlineStr">
        <is>
          <t>Finish</t>
        </is>
      </c>
      <c r="D195" t="inlineStr">
        <is>
          <t>Light fixture not aligned with grid</t>
        </is>
      </c>
      <c r="E195" t="inlineStr">
        <is>
          <t>Medium</t>
        </is>
      </c>
      <c r="F195" t="inlineStr">
        <is>
          <t>M. Patel</t>
        </is>
      </c>
      <c r="G195" s="2" t="n">
        <v>46170</v>
      </c>
      <c r="H195" s="2" t="n">
        <v>46187</v>
      </c>
      <c r="I195">
        <f>IF(G195="","",TODAY()-G195)</f>
        <v/>
      </c>
      <c r="J195" t="inlineStr">
        <is>
          <t>Open</t>
        </is>
      </c>
      <c r="K195" t="inlineStr">
        <is>
          <t>Inspected by R. Thompson</t>
        </is>
      </c>
    </row>
    <row r="196">
      <c r="A196" t="inlineStr">
        <is>
          <t>PL-195</t>
        </is>
      </c>
      <c r="B196" t="inlineStr">
        <is>
          <t>Storage</t>
        </is>
      </c>
      <c r="C196" t="inlineStr">
        <is>
          <t>Millwork</t>
        </is>
      </c>
      <c r="D196" t="inlineStr">
        <is>
          <t>Rainwater downspout extension missing</t>
        </is>
      </c>
      <c r="E196" t="inlineStr">
        <is>
          <t>Medium</t>
        </is>
      </c>
      <c r="F196" t="inlineStr">
        <is>
          <t>L. Chen</t>
        </is>
      </c>
      <c r="G196" s="2" t="n">
        <v>46108</v>
      </c>
      <c r="H196" s="2" t="n">
        <v>46135</v>
      </c>
      <c r="I196">
        <f>IF(G196="","",TODAY()-G196)</f>
        <v/>
      </c>
      <c r="J196" t="inlineStr">
        <is>
          <t>Closed</t>
        </is>
      </c>
      <c r="K196" t="inlineStr">
        <is>
          <t>Inspected by J. Garcia</t>
        </is>
      </c>
    </row>
    <row r="197">
      <c r="A197" t="inlineStr">
        <is>
          <t>PL-196</t>
        </is>
      </c>
      <c r="B197" t="inlineStr">
        <is>
          <t>Field</t>
        </is>
      </c>
      <c r="C197" t="inlineStr">
        <is>
          <t>MEP</t>
        </is>
      </c>
      <c r="D197" t="inlineStr">
        <is>
          <t>Floor tile cracked — replace 12×12 section</t>
        </is>
      </c>
      <c r="E197" t="inlineStr">
        <is>
          <t>High</t>
        </is>
      </c>
      <c r="F197" t="inlineStr">
        <is>
          <t>S. Rodriguez</t>
        </is>
      </c>
      <c r="G197" s="2" t="n">
        <v>46055</v>
      </c>
      <c r="H197" s="2" t="n">
        <v>46062</v>
      </c>
      <c r="I197">
        <f>IF(G197="","",TODAY()-G197)</f>
        <v/>
      </c>
      <c r="J197" t="inlineStr">
        <is>
          <t>Ready for Review</t>
        </is>
      </c>
      <c r="K197" t="inlineStr"/>
    </row>
    <row r="198">
      <c r="A198" t="inlineStr">
        <is>
          <t>PL-197</t>
        </is>
      </c>
      <c r="B198" t="inlineStr">
        <is>
          <t>Lobby</t>
        </is>
      </c>
      <c r="C198" t="inlineStr">
        <is>
          <t>General</t>
        </is>
      </c>
      <c r="D198" t="inlineStr">
        <is>
          <t>Expansion joint cover loose</t>
        </is>
      </c>
      <c r="E198" t="inlineStr">
        <is>
          <t>Low</t>
        </is>
      </c>
      <c r="F198" t="inlineStr">
        <is>
          <t>M. Patel</t>
        </is>
      </c>
      <c r="G198" s="2" t="n">
        <v>46103</v>
      </c>
      <c r="H198" s="2" t="n">
        <v>46110</v>
      </c>
      <c r="I198">
        <f>IF(G198="","",TODAY()-G198)</f>
        <v/>
      </c>
      <c r="J198" t="inlineStr">
        <is>
          <t>Closed</t>
        </is>
      </c>
      <c r="K198" t="inlineStr"/>
    </row>
    <row r="199">
      <c r="A199" t="inlineStr">
        <is>
          <t>PL-198</t>
        </is>
      </c>
      <c r="B199" t="inlineStr">
        <is>
          <t>Concourse</t>
        </is>
      </c>
      <c r="C199" t="inlineStr">
        <is>
          <t>MEP</t>
        </is>
      </c>
      <c r="D199" t="inlineStr">
        <is>
          <t>Baseboard gap exceeds 1/8" at joint</t>
        </is>
      </c>
      <c r="E199" t="inlineStr">
        <is>
          <t>Medium</t>
        </is>
      </c>
      <c r="F199" t="inlineStr">
        <is>
          <t>K. Johnson</t>
        </is>
      </c>
      <c r="G199" s="2" t="n">
        <v>46095</v>
      </c>
      <c r="H199" s="2" t="n">
        <v>46114</v>
      </c>
      <c r="I199">
        <f>IF(G199="","",TODAY()-G199)</f>
        <v/>
      </c>
      <c r="J199" t="inlineStr">
        <is>
          <t>Open</t>
        </is>
      </c>
      <c r="K199" t="inlineStr"/>
    </row>
    <row r="200">
      <c r="A200" t="inlineStr">
        <is>
          <t>PL-199</t>
        </is>
      </c>
      <c r="B200" t="inlineStr">
        <is>
          <t>Stairwell</t>
        </is>
      </c>
      <c r="C200" t="inlineStr">
        <is>
          <t>Steel</t>
        </is>
      </c>
      <c r="D200" t="inlineStr">
        <is>
          <t>Toilet flange not secured to floor</t>
        </is>
      </c>
      <c r="E200" t="inlineStr">
        <is>
          <t>High</t>
        </is>
      </c>
      <c r="F200" t="inlineStr">
        <is>
          <t>L. Chen</t>
        </is>
      </c>
      <c r="G200" s="2" t="n">
        <v>46065</v>
      </c>
      <c r="H200" s="2" t="n">
        <v>46085</v>
      </c>
      <c r="I200">
        <f>IF(G200="","",TODAY()-G200)</f>
        <v/>
      </c>
      <c r="J200" t="inlineStr">
        <is>
          <t>Open</t>
        </is>
      </c>
      <c r="K200" t="inlineStr">
        <is>
          <t>Inspected by D. Williams</t>
        </is>
      </c>
    </row>
    <row r="201">
      <c r="A201" t="inlineStr">
        <is>
          <t>PL-200</t>
        </is>
      </c>
      <c r="B201" t="inlineStr">
        <is>
          <t>Restroom</t>
        </is>
      </c>
      <c r="C201" t="inlineStr">
        <is>
          <t>General</t>
        </is>
      </c>
      <c r="D201" t="inlineStr">
        <is>
          <t>Curb angle not anchored per detail</t>
        </is>
      </c>
      <c r="E201" t="inlineStr">
        <is>
          <t>High</t>
        </is>
      </c>
      <c r="F201" t="inlineStr">
        <is>
          <t>R. Thompson</t>
        </is>
      </c>
      <c r="G201" s="2" t="n">
        <v>46112</v>
      </c>
      <c r="H201" s="2" t="n">
        <v>46131</v>
      </c>
      <c r="I201">
        <f>IF(G201="","",TODAY()-G201)</f>
        <v/>
      </c>
      <c r="J201" t="inlineStr">
        <is>
          <t>In Progress</t>
        </is>
      </c>
      <c r="K201" t="inlineStr">
        <is>
          <t>Inspected by T. Brown</t>
        </is>
      </c>
    </row>
    <row r="203">
      <c r="A203" s="3" t="inlineStr">
        <is>
          <t>SUMMARY</t>
        </is>
      </c>
    </row>
    <row r="204">
      <c r="A204" s="4" t="inlineStr">
        <is>
          <t>Total Items</t>
        </is>
      </c>
      <c r="B204">
        <f>COUNTIF(J2:J201,"*")</f>
        <v/>
      </c>
    </row>
    <row r="205">
      <c r="A205" s="4" t="inlineStr">
        <is>
          <t>Open Items</t>
        </is>
      </c>
      <c r="B205">
        <f>COUNTIF(J2:J201,"Open")</f>
        <v/>
      </c>
    </row>
    <row r="206">
      <c r="A206" s="4" t="inlineStr">
        <is>
          <t>In Progress</t>
        </is>
      </c>
      <c r="B206">
        <f>COUNTIF(J2:J201,"In Progress")</f>
        <v/>
      </c>
    </row>
    <row r="207">
      <c r="A207" s="4" t="inlineStr">
        <is>
          <t>Ready for Review</t>
        </is>
      </c>
      <c r="B207">
        <f>COUNTIF(J2:J201,"Ready for Review")</f>
        <v/>
      </c>
    </row>
    <row r="208">
      <c r="A208" s="4" t="inlineStr">
        <is>
          <t>Closed</t>
        </is>
      </c>
      <c r="B208">
        <f>COUNTIF(J2:J201,"Closed")</f>
        <v/>
      </c>
    </row>
    <row r="209">
      <c r="A209" s="4" t="inlineStr">
        <is>
          <t>Rejected</t>
        </is>
      </c>
      <c r="B209">
        <f>COUNTIF(J2:J201,"Rejected")</f>
        <v/>
      </c>
    </row>
    <row r="211">
      <c r="A211" s="5" t="inlineStr">
        <is>
          <t>BY PRIORITY</t>
        </is>
      </c>
    </row>
    <row r="212">
      <c r="A212" s="4" t="inlineStr">
        <is>
          <t>Low</t>
        </is>
      </c>
      <c r="B212">
        <f>COUNTIF(E2:E201,"Low")</f>
        <v/>
      </c>
    </row>
    <row r="213">
      <c r="A213" s="4" t="inlineStr">
        <is>
          <t>Medium</t>
        </is>
      </c>
      <c r="B213">
        <f>COUNTIF(E2:E201,"Medium")</f>
        <v/>
      </c>
    </row>
    <row r="214">
      <c r="A214" s="4" t="inlineStr">
        <is>
          <t>High</t>
        </is>
      </c>
      <c r="B214">
        <f>COUNTIF(E2:E201,"High")</f>
        <v/>
      </c>
    </row>
    <row r="215">
      <c r="A215" s="4" t="inlineStr">
        <is>
          <t>Critical</t>
        </is>
      </c>
      <c r="B215">
        <f>COUNTIF(E2:E201,"Critical")</f>
        <v/>
      </c>
    </row>
    <row r="217">
      <c r="A217" s="5" t="inlineStr">
        <is>
          <t>BY STATUS</t>
        </is>
      </c>
    </row>
    <row r="218">
      <c r="A218" s="4" t="inlineStr">
        <is>
          <t>Open</t>
        </is>
      </c>
      <c r="B218">
        <f>COUNTIF(J2:J201,"Open")</f>
        <v/>
      </c>
    </row>
    <row r="219">
      <c r="A219" s="4" t="inlineStr">
        <is>
          <t>In Progress</t>
        </is>
      </c>
      <c r="B219">
        <f>COUNTIF(J2:J201,"In Progress")</f>
        <v/>
      </c>
    </row>
    <row r="220">
      <c r="A220" s="4" t="inlineStr">
        <is>
          <t>Ready for Review</t>
        </is>
      </c>
      <c r="B220">
        <f>COUNTIF(J2:J201,"Ready for Review")</f>
        <v/>
      </c>
    </row>
    <row r="221">
      <c r="A221" s="4" t="inlineStr">
        <is>
          <t>Closed</t>
        </is>
      </c>
      <c r="B221">
        <f>COUNTIF(J2:J201,"Closed")</f>
        <v/>
      </c>
    </row>
    <row r="222">
      <c r="A222" s="4" t="inlineStr">
        <is>
          <t>Rejected</t>
        </is>
      </c>
      <c r="B222">
        <f>COUNTIF(J2:J201,"Rejected")</f>
        <v/>
      </c>
    </row>
  </sheetData>
  <autoFilter ref="A1:K201"/>
  <mergeCells count="1">
    <mergeCell ref="A203:D203"/>
  </mergeCells>
  <conditionalFormatting sqref="E2:E201">
    <cfRule type="cellIs" priority="1" operator="equal" dxfId="0">
      <formula>"Critical"</formula>
    </cfRule>
    <cfRule type="cellIs" priority="2" operator="equal" dxfId="1">
      <formula>"High"</formula>
    </cfRule>
    <cfRule type="cellIs" priority="3" operator="equal" dxfId="2">
      <formula>"Medium"</formula>
    </cfRule>
  </conditionalFormatting>
  <conditionalFormatting sqref="J2:J201">
    <cfRule type="cellIs" priority="4" operator="equal" dxfId="3">
      <formula>"Closed"</formula>
    </cfRule>
    <cfRule type="cellIs" priority="5" operator="equal" dxfId="0">
      <formula>"Open"</formula>
    </cfRule>
    <cfRule type="cellIs" priority="6" operator="equal" dxfId="4">
      <formula>"In Progress"</formula>
    </cfRule>
  </conditionalFormatting>
  <dataValidations count="4">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showDropDown="0" showInputMessage="0" showErrorMessage="0" allowBlank="1" errorTitle="Invalid Location" error="Please select a valid Location" type="list">
      <formula1>"Concourse,Suite,Field,Exterior,Roof,MEP Room,Lobby,Restroom,Stairwell,Storage"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errorTitle="Invalid Trade" error="Please select a valid Trade" type="list">
      <formula1>"Concrete,Steel,MEP,Finish,Electrical,Plumbing,HVAC,Carpentry,Painting,Flooring,Millwork,Glass/Glazing,General"</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errorTitle="Invalid Priority" error="Please select a valid Priority" type="list">
      <formula1>"Low,Medium,High,Critical"</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showDropDown="0" showInputMessage="0" showErrorMessage="0" allowBlank="1" errorTitle="Invalid Status" error="Please select a valid Status" type="list">
      <formula1>"Open,In Progress,Ready for Review,Closed,Rejected"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28" customWidth="1" min="1" max="1"/>
    <col width="16" customWidth="1" min="2" max="2"/>
    <col width="16" customWidth="1" min="3" max="3"/>
  </cols>
  <sheetData>
    <row r="1" ht="28" customHeight="1">
      <c r="A1" s="6" t="inlineStr">
        <is>
          <t>PUNCH LIST SUMMARY REPORT</t>
        </is>
      </c>
    </row>
    <row r="3">
      <c r="A3" s="7" t="inlineStr">
        <is>
          <t>Total Items</t>
        </is>
      </c>
      <c r="B3" s="8">
        <f>COUNTA('Punch List'!A2:A201)</f>
        <v/>
      </c>
    </row>
    <row r="5">
      <c r="A5" s="9" t="inlineStr">
        <is>
          <t>STATUS BREAKDOWN</t>
        </is>
      </c>
    </row>
    <row r="6">
      <c r="A6" s="7" t="inlineStr">
        <is>
          <t>Open</t>
        </is>
      </c>
      <c r="B6" s="8">
        <f>COUNTIF('Punch List'!J2:J201,"Open")</f>
        <v/>
      </c>
      <c r="C6" s="10">
        <f>IF(COUNTA('Punch List'!A2:A201)=0,0,=COUNTIF('Punch List'!J2:J201,"Open")/COUNTA('Punch List'!A2:A201))</f>
        <v/>
      </c>
    </row>
    <row r="7">
      <c r="A7" s="7" t="inlineStr">
        <is>
          <t>In Progress</t>
        </is>
      </c>
      <c r="B7" s="8">
        <f>COUNTIF('Punch List'!J2:J201,"In Progress")</f>
        <v/>
      </c>
      <c r="C7" s="10">
        <f>IF(COUNTA('Punch List'!A2:A201)=0,0,=COUNTIF('Punch List'!J2:J201,"In Progress")/COUNTA('Punch List'!A2:A201))</f>
        <v/>
      </c>
    </row>
    <row r="8">
      <c r="A8" s="7" t="inlineStr">
        <is>
          <t>Ready for Review</t>
        </is>
      </c>
      <c r="B8" s="8">
        <f>COUNTIF('Punch List'!J2:J201,"Ready for Review")</f>
        <v/>
      </c>
      <c r="C8" s="10">
        <f>IF(COUNTA('Punch List'!A2:A201)=0,0,=COUNTIF('Punch List'!J2:J201,"Ready for Review")/COUNTA('Punch List'!A2:A201))</f>
        <v/>
      </c>
    </row>
    <row r="9">
      <c r="A9" s="7" t="inlineStr">
        <is>
          <t>Closed</t>
        </is>
      </c>
      <c r="B9" s="8">
        <f>COUNTIF('Punch List'!J2:J201,"Closed")</f>
        <v/>
      </c>
      <c r="C9" s="10">
        <f>IF(COUNTA('Punch List'!A2:A201)=0,0,=COUNTIF('Punch List'!J2:J201,"Closed")/COUNTA('Punch List'!A2:A201))</f>
        <v/>
      </c>
    </row>
    <row r="10">
      <c r="A10" s="7" t="inlineStr">
        <is>
          <t>Rejected</t>
        </is>
      </c>
      <c r="B10" s="8">
        <f>COUNTIF('Punch List'!J2:J201,"Rejected")</f>
        <v/>
      </c>
      <c r="C10" s="10">
        <f>IF(COUNTA('Punch List'!A2:A201)=0,0,=COUNTIF('Punch List'!J2:J201,"Rejected")/COUNTA('Punch List'!A2:A201))</f>
        <v/>
      </c>
    </row>
    <row r="12">
      <c r="A12" s="9" t="inlineStr">
        <is>
          <t>BY PRIORITY</t>
        </is>
      </c>
    </row>
    <row r="13">
      <c r="A13" s="7" t="inlineStr">
        <is>
          <t>Low</t>
        </is>
      </c>
      <c r="B13" s="8">
        <f>COUNTIF('Punch List'!E2:E201,"Low")</f>
        <v/>
      </c>
    </row>
    <row r="14">
      <c r="A14" s="7" t="inlineStr">
        <is>
          <t>Medium</t>
        </is>
      </c>
      <c r="B14" s="8">
        <f>COUNTIF('Punch List'!E2:E201,"Medium")</f>
        <v/>
      </c>
    </row>
    <row r="15">
      <c r="A15" s="7" t="inlineStr">
        <is>
          <t>High</t>
        </is>
      </c>
      <c r="B15" s="8">
        <f>COUNTIF('Punch List'!E2:E201,"High")</f>
        <v/>
      </c>
    </row>
    <row r="16">
      <c r="A16" s="7" t="inlineStr">
        <is>
          <t>Critical</t>
        </is>
      </c>
      <c r="B16" s="8">
        <f>COUNTIF('Punch List'!E2:E201,"Critical")</f>
        <v/>
      </c>
    </row>
    <row r="18">
      <c r="A18" s="9" t="inlineStr">
        <is>
          <t>TOP TRADES</t>
        </is>
      </c>
    </row>
    <row r="19">
      <c r="A19" s="7" t="inlineStr">
        <is>
          <t>Concrete</t>
        </is>
      </c>
      <c r="B19" s="8">
        <f>COUNTIF('Punch List'!C2:C201,"Concrete")</f>
        <v/>
      </c>
    </row>
    <row r="20">
      <c r="A20" s="7" t="inlineStr">
        <is>
          <t>Steel</t>
        </is>
      </c>
      <c r="B20" s="8">
        <f>COUNTIF('Punch List'!C2:C201,"Steel")</f>
        <v/>
      </c>
    </row>
    <row r="21">
      <c r="A21" s="7" t="inlineStr">
        <is>
          <t>MEP</t>
        </is>
      </c>
      <c r="B21" s="8">
        <f>COUNTIF('Punch List'!C2:C201,"MEP")</f>
        <v/>
      </c>
    </row>
    <row r="22">
      <c r="A22" s="7" t="inlineStr">
        <is>
          <t>Finish</t>
        </is>
      </c>
      <c r="B22" s="8">
        <f>COUNTIF('Punch List'!C2:C201,"Finish")</f>
        <v/>
      </c>
    </row>
    <row r="23">
      <c r="A23" s="7" t="inlineStr">
        <is>
          <t>Electrical</t>
        </is>
      </c>
      <c r="B23" s="8">
        <f>COUNTIF('Punch List'!C2:C201,"Electrical")</f>
        <v/>
      </c>
    </row>
    <row r="24">
      <c r="A24" s="7" t="inlineStr">
        <is>
          <t>Plumbing</t>
        </is>
      </c>
      <c r="B24" s="8">
        <f>COUNTIF('Punch List'!C2:C201,"Plumbing")</f>
        <v/>
      </c>
    </row>
    <row r="25">
      <c r="A25" s="7" t="inlineStr">
        <is>
          <t>HVAC</t>
        </is>
      </c>
      <c r="B25" s="8">
        <f>COUNTIF('Punch List'!C2:C201,"HVAC")</f>
        <v/>
      </c>
    </row>
    <row r="26">
      <c r="A26" s="7" t="inlineStr">
        <is>
          <t>Carpentry</t>
        </is>
      </c>
      <c r="B26" s="8">
        <f>COUNTIF('Punch List'!C2:C201,"Carpentry")</f>
        <v/>
      </c>
    </row>
    <row r="27">
      <c r="A27" s="7" t="inlineStr">
        <is>
          <t>Painting</t>
        </is>
      </c>
      <c r="B27" s="8">
        <f>COUNTIF('Punch List'!C2:C201,"Painting")</f>
        <v/>
      </c>
    </row>
    <row r="28">
      <c r="A28" s="7" t="inlineStr">
        <is>
          <t>Flooring</t>
        </is>
      </c>
      <c r="B28" s="8">
        <f>COUNTIF('Punch List'!C2:C201,"Flooring")</f>
        <v/>
      </c>
    </row>
    <row r="30">
      <c r="A30" s="9" t="inlineStr">
        <is>
          <t>AVERAGE DAYS OPEN</t>
        </is>
      </c>
    </row>
    <row r="31">
      <c r="A31" s="7" t="inlineStr">
        <is>
          <t>Avg Days Open (Open Items)</t>
        </is>
      </c>
      <c r="B31" s="8">
        <f>IFERROR(AVERAGEIF('Punch List'!J2:J201,"Open",'Punch List'!I2:I201),0)</f>
        <v/>
      </c>
    </row>
    <row r="32">
      <c r="A32" s="7" t="inlineStr">
        <is>
          <t>Avg Days Open (All Items)</t>
        </is>
      </c>
      <c r="B32" s="8">
        <f>IFERROR(AVERAGE('Punch List'!I2:I201),0)</f>
        <v/>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2026-06-07T19:50:16Z</dcterms:created>
  <dcterms:modified xmlns:dcterms="http://purl.org/dc/terms/" xmlns:xsi="http://www.w3.org/2001/XMLSchema-instance" xsi:type="dcterms:W3CDTF">2026-06-07T19:50:16Z</dcterms:modified>
</cp:coreProperties>
</file>