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Order 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'Change Order Log'!$A$1:$J$51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84655"/>
      <sz val="11"/>
    </font>
  </fonts>
  <fills count="4">
    <fill>
      <patternFill/>
    </fill>
    <fill>
      <patternFill patternType="gray125"/>
    </fill>
    <fill>
      <patternFill patternType="solid">
        <fgColor rgb="00184655"/>
        <bgColor rgb="00184655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39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39" fontId="3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39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0" customWidth="1" min="10" max="10"/>
  </cols>
  <sheetData>
    <row r="1">
      <c r="A1" s="1" t="inlineStr">
        <is>
          <t>CO #</t>
        </is>
      </c>
      <c r="B1" s="1" t="inlineStr">
        <is>
          <t>Description</t>
        </is>
      </c>
      <c r="C1" s="1" t="inlineStr">
        <is>
          <t>Subcontractor</t>
        </is>
      </c>
      <c r="D1" s="1" t="inlineStr">
        <is>
          <t>Status</t>
        </is>
      </c>
      <c r="E1" s="1" t="inlineStr">
        <is>
          <t>Amount</t>
        </is>
      </c>
      <c r="F1" s="1" t="inlineStr">
        <is>
          <t>Approved Amount</t>
        </is>
      </c>
      <c r="G1" s="1" t="inlineStr">
        <is>
          <t>Date Submitted</t>
        </is>
      </c>
      <c r="H1" s="1" t="inlineStr">
        <is>
          <t>Date Approved</t>
        </is>
      </c>
      <c r="I1" s="1" t="inlineStr">
        <is>
          <t>Days to Approval</t>
        </is>
      </c>
      <c r="J1" s="1" t="inlineStr">
        <is>
          <t>Scope Change</t>
        </is>
      </c>
    </row>
    <row r="2">
      <c r="A2" s="2" t="inlineStr">
        <is>
          <t>CO-001</t>
        </is>
      </c>
      <c r="B2" s="3" t="inlineStr">
        <is>
          <t>Additional concrete pour - North parking deck slab</t>
        </is>
      </c>
      <c r="C2" s="4" t="inlineStr">
        <is>
          <t>Baker Concrete</t>
        </is>
      </c>
      <c r="D2" s="4" t="inlineStr">
        <is>
          <t>Approved</t>
        </is>
      </c>
      <c r="E2" s="5" t="n">
        <v>245000</v>
      </c>
      <c r="F2" s="5" t="n">
        <v>232750</v>
      </c>
      <c r="G2" s="6" t="n">
        <v>45726</v>
      </c>
      <c r="H2" s="6" t="n">
        <v>45734</v>
      </c>
      <c r="I2" s="7">
        <f>IF(AND(H2&lt;&gt;"",G2&lt;&gt;""),H2-G2,"")</f>
        <v/>
      </c>
      <c r="J2" s="3" t="inlineStr">
        <is>
          <t>Concrete</t>
        </is>
      </c>
    </row>
    <row r="3">
      <c r="A3" s="2" t="inlineStr">
        <is>
          <t>CO-002</t>
        </is>
      </c>
      <c r="B3" s="3" t="inlineStr">
        <is>
          <t>Revised steel beam connections - East upper concourse</t>
        </is>
      </c>
      <c r="C3" s="4" t="inlineStr">
        <is>
          <t>Qualico Steel</t>
        </is>
      </c>
      <c r="D3" s="4" t="inlineStr">
        <is>
          <t>Approved</t>
        </is>
      </c>
      <c r="E3" s="5" t="n">
        <v>87500</v>
      </c>
      <c r="F3" s="5" t="n">
        <v>87500</v>
      </c>
      <c r="G3" s="6" t="n">
        <v>45728</v>
      </c>
      <c r="H3" s="6" t="n">
        <v>45738</v>
      </c>
      <c r="I3" s="7">
        <f>IF(AND(H3&lt;&gt;"",G3&lt;&gt;""),H3-G3,"")</f>
        <v/>
      </c>
      <c r="J3" s="3" t="inlineStr">
        <is>
          <t>Steel</t>
        </is>
      </c>
    </row>
    <row r="4">
      <c r="A4" s="2" t="inlineStr">
        <is>
          <t>CO-003</t>
        </is>
      </c>
      <c r="B4" s="3" t="inlineStr">
        <is>
          <t>Underground utility relocation - West entry road</t>
        </is>
      </c>
      <c r="C4" s="4" t="inlineStr">
        <is>
          <t>A-1 All Florida</t>
        </is>
      </c>
      <c r="D4" s="4" t="inlineStr">
        <is>
          <t>Pending</t>
        </is>
      </c>
      <c r="E4" s="5" t="n">
        <v>124300</v>
      </c>
      <c r="F4" s="5" t="n">
        <v>0</v>
      </c>
      <c r="G4" s="6" t="n">
        <v>45731</v>
      </c>
      <c r="H4" s="6" t="n"/>
      <c r="I4" s="7">
        <f>IF(AND(H4&lt;&gt;"",G4&lt;&gt;""),H4-G4,"")</f>
        <v/>
      </c>
      <c r="J4" s="3" t="inlineStr">
        <is>
          <t>Utilities</t>
        </is>
      </c>
    </row>
    <row r="5">
      <c r="A5" s="2" t="inlineStr">
        <is>
          <t>CO-004</t>
        </is>
      </c>
      <c r="B5" s="3" t="inlineStr">
        <is>
          <t>Expanded electrical room - Main switchgear upgrade</t>
        </is>
      </c>
      <c r="C5" s="4" t="inlineStr">
        <is>
          <t>Baker Concrete</t>
        </is>
      </c>
      <c r="D5" s="4" t="inlineStr">
        <is>
          <t>Submitted</t>
        </is>
      </c>
      <c r="E5" s="5" t="n">
        <v>68900</v>
      </c>
      <c r="F5" s="5" t="n">
        <v>0</v>
      </c>
      <c r="G5" s="6" t="n">
        <v>45736</v>
      </c>
      <c r="H5" s="6" t="n"/>
      <c r="I5" s="7">
        <f>IF(AND(H5&lt;&gt;"",G5&lt;&gt;""),H5-G5,"")</f>
        <v/>
      </c>
      <c r="J5" s="3" t="inlineStr">
        <is>
          <t>Electrical</t>
        </is>
      </c>
    </row>
    <row r="6">
      <c r="A6" s="2" t="inlineStr">
        <is>
          <t>CO-005</t>
        </is>
      </c>
      <c r="B6" s="3" t="inlineStr">
        <is>
          <t>Railing design change - VIP suite balcony</t>
        </is>
      </c>
      <c r="C6" s="4" t="inlineStr">
        <is>
          <t>Qualico Steel</t>
        </is>
      </c>
      <c r="D6" s="4" t="inlineStr">
        <is>
          <t>Rejected</t>
        </is>
      </c>
      <c r="E6" s="5" t="n">
        <v>34000</v>
      </c>
      <c r="F6" s="5" t="n">
        <v>0</v>
      </c>
      <c r="G6" s="6" t="n">
        <v>45738</v>
      </c>
      <c r="H6" s="6" t="n"/>
      <c r="I6" s="7">
        <f>IF(AND(H6&lt;&gt;"",G6&lt;&gt;""),H6-G6,"")</f>
        <v/>
      </c>
      <c r="J6" s="3" t="inlineStr">
        <is>
          <t>Architectural</t>
        </is>
      </c>
    </row>
    <row r="7">
      <c r="A7" s="2" t="n"/>
      <c r="B7" s="3" t="n"/>
      <c r="C7" s="4" t="n"/>
      <c r="D7" s="4" t="n"/>
      <c r="E7" s="5" t="n"/>
      <c r="F7" s="5" t="n"/>
      <c r="G7" s="2" t="n"/>
      <c r="H7" s="2" t="n"/>
      <c r="I7" s="7">
        <f>IF(AND(H7&lt;&gt;"",G7&lt;&gt;""),H7-G7,"")</f>
        <v/>
      </c>
      <c r="J7" s="3" t="n"/>
    </row>
    <row r="8">
      <c r="A8" s="2" t="n"/>
      <c r="B8" s="3" t="n"/>
      <c r="C8" s="4" t="n"/>
      <c r="D8" s="4" t="n"/>
      <c r="E8" s="5" t="n"/>
      <c r="F8" s="5" t="n"/>
      <c r="G8" s="2" t="n"/>
      <c r="H8" s="2" t="n"/>
      <c r="I8" s="7">
        <f>IF(AND(H8&lt;&gt;"",G8&lt;&gt;""),H8-G8,"")</f>
        <v/>
      </c>
      <c r="J8" s="3" t="n"/>
    </row>
    <row r="9">
      <c r="A9" s="2" t="n"/>
      <c r="B9" s="3" t="n"/>
      <c r="C9" s="4" t="n"/>
      <c r="D9" s="4" t="n"/>
      <c r="E9" s="5" t="n"/>
      <c r="F9" s="5" t="n"/>
      <c r="G9" s="2" t="n"/>
      <c r="H9" s="2" t="n"/>
      <c r="I9" s="7">
        <f>IF(AND(H9&lt;&gt;"",G9&lt;&gt;""),H9-G9,"")</f>
        <v/>
      </c>
      <c r="J9" s="3" t="n"/>
    </row>
    <row r="10">
      <c r="A10" s="2" t="n"/>
      <c r="B10" s="3" t="n"/>
      <c r="C10" s="4" t="n"/>
      <c r="D10" s="4" t="n"/>
      <c r="E10" s="5" t="n"/>
      <c r="F10" s="5" t="n"/>
      <c r="G10" s="2" t="n"/>
      <c r="H10" s="2" t="n"/>
      <c r="I10" s="7">
        <f>IF(AND(H10&lt;&gt;"",G10&lt;&gt;""),H10-G10,"")</f>
        <v/>
      </c>
      <c r="J10" s="3" t="n"/>
    </row>
    <row r="11">
      <c r="A11" s="2" t="n"/>
      <c r="B11" s="3" t="n"/>
      <c r="C11" s="4" t="n"/>
      <c r="D11" s="4" t="n"/>
      <c r="E11" s="5" t="n"/>
      <c r="F11" s="5" t="n"/>
      <c r="G11" s="2" t="n"/>
      <c r="H11" s="2" t="n"/>
      <c r="I11" s="7">
        <f>IF(AND(H11&lt;&gt;"",G11&lt;&gt;""),H11-G11,"")</f>
        <v/>
      </c>
      <c r="J11" s="3" t="n"/>
    </row>
    <row r="12">
      <c r="A12" s="2" t="n"/>
      <c r="B12" s="3" t="n"/>
      <c r="C12" s="4" t="n"/>
      <c r="D12" s="4" t="n"/>
      <c r="E12" s="5" t="n"/>
      <c r="F12" s="5" t="n"/>
      <c r="G12" s="2" t="n"/>
      <c r="H12" s="2" t="n"/>
      <c r="I12" s="7">
        <f>IF(AND(H12&lt;&gt;"",G12&lt;&gt;""),H12-G12,"")</f>
        <v/>
      </c>
      <c r="J12" s="3" t="n"/>
    </row>
    <row r="13">
      <c r="A13" s="2" t="n"/>
      <c r="B13" s="3" t="n"/>
      <c r="C13" s="4" t="n"/>
      <c r="D13" s="4" t="n"/>
      <c r="E13" s="5" t="n"/>
      <c r="F13" s="5" t="n"/>
      <c r="G13" s="2" t="n"/>
      <c r="H13" s="2" t="n"/>
      <c r="I13" s="7">
        <f>IF(AND(H13&lt;&gt;"",G13&lt;&gt;""),H13-G13,"")</f>
        <v/>
      </c>
      <c r="J13" s="3" t="n"/>
    </row>
    <row r="14">
      <c r="A14" s="2" t="n"/>
      <c r="B14" s="3" t="n"/>
      <c r="C14" s="4" t="n"/>
      <c r="D14" s="4" t="n"/>
      <c r="E14" s="5" t="n"/>
      <c r="F14" s="5" t="n"/>
      <c r="G14" s="2" t="n"/>
      <c r="H14" s="2" t="n"/>
      <c r="I14" s="7">
        <f>IF(AND(H14&lt;&gt;"",G14&lt;&gt;""),H14-G14,"")</f>
        <v/>
      </c>
      <c r="J14" s="3" t="n"/>
    </row>
    <row r="15">
      <c r="A15" s="2" t="n"/>
      <c r="B15" s="3" t="n"/>
      <c r="C15" s="4" t="n"/>
      <c r="D15" s="4" t="n"/>
      <c r="E15" s="5" t="n"/>
      <c r="F15" s="5" t="n"/>
      <c r="G15" s="2" t="n"/>
      <c r="H15" s="2" t="n"/>
      <c r="I15" s="7">
        <f>IF(AND(H15&lt;&gt;"",G15&lt;&gt;""),H15-G15,"")</f>
        <v/>
      </c>
      <c r="J15" s="3" t="n"/>
    </row>
    <row r="16">
      <c r="A16" s="2" t="n"/>
      <c r="B16" s="3" t="n"/>
      <c r="C16" s="4" t="n"/>
      <c r="D16" s="4" t="n"/>
      <c r="E16" s="5" t="n"/>
      <c r="F16" s="5" t="n"/>
      <c r="G16" s="2" t="n"/>
      <c r="H16" s="2" t="n"/>
      <c r="I16" s="7">
        <f>IF(AND(H16&lt;&gt;"",G16&lt;&gt;""),H16-G16,"")</f>
        <v/>
      </c>
      <c r="J16" s="3" t="n"/>
    </row>
    <row r="17">
      <c r="A17" s="2" t="n"/>
      <c r="B17" s="3" t="n"/>
      <c r="C17" s="4" t="n"/>
      <c r="D17" s="4" t="n"/>
      <c r="E17" s="5" t="n"/>
      <c r="F17" s="5" t="n"/>
      <c r="G17" s="2" t="n"/>
      <c r="H17" s="2" t="n"/>
      <c r="I17" s="7">
        <f>IF(AND(H17&lt;&gt;"",G17&lt;&gt;""),H17-G17,"")</f>
        <v/>
      </c>
      <c r="J17" s="3" t="n"/>
    </row>
    <row r="18">
      <c r="A18" s="2" t="n"/>
      <c r="B18" s="3" t="n"/>
      <c r="C18" s="4" t="n"/>
      <c r="D18" s="4" t="n"/>
      <c r="E18" s="5" t="n"/>
      <c r="F18" s="5" t="n"/>
      <c r="G18" s="2" t="n"/>
      <c r="H18" s="2" t="n"/>
      <c r="I18" s="7">
        <f>IF(AND(H18&lt;&gt;"",G18&lt;&gt;""),H18-G18,"")</f>
        <v/>
      </c>
      <c r="J18" s="3" t="n"/>
    </row>
    <row r="19">
      <c r="A19" s="2" t="n"/>
      <c r="B19" s="3" t="n"/>
      <c r="C19" s="4" t="n"/>
      <c r="D19" s="4" t="n"/>
      <c r="E19" s="5" t="n"/>
      <c r="F19" s="5" t="n"/>
      <c r="G19" s="2" t="n"/>
      <c r="H19" s="2" t="n"/>
      <c r="I19" s="7">
        <f>IF(AND(H19&lt;&gt;"",G19&lt;&gt;""),H19-G19,"")</f>
        <v/>
      </c>
      <c r="J19" s="3" t="n"/>
    </row>
    <row r="20">
      <c r="A20" s="2" t="n"/>
      <c r="B20" s="3" t="n"/>
      <c r="C20" s="4" t="n"/>
      <c r="D20" s="4" t="n"/>
      <c r="E20" s="5" t="n"/>
      <c r="F20" s="5" t="n"/>
      <c r="G20" s="2" t="n"/>
      <c r="H20" s="2" t="n"/>
      <c r="I20" s="7">
        <f>IF(AND(H20&lt;&gt;"",G20&lt;&gt;""),H20-G20,"")</f>
        <v/>
      </c>
      <c r="J20" s="3" t="n"/>
    </row>
    <row r="21">
      <c r="A21" s="2" t="n"/>
      <c r="B21" s="3" t="n"/>
      <c r="C21" s="4" t="n"/>
      <c r="D21" s="4" t="n"/>
      <c r="E21" s="5" t="n"/>
      <c r="F21" s="5" t="n"/>
      <c r="G21" s="2" t="n"/>
      <c r="H21" s="2" t="n"/>
      <c r="I21" s="7">
        <f>IF(AND(H21&lt;&gt;"",G21&lt;&gt;""),H21-G21,"")</f>
        <v/>
      </c>
      <c r="J21" s="3" t="n"/>
    </row>
    <row r="22">
      <c r="A22" s="2" t="n"/>
      <c r="B22" s="3" t="n"/>
      <c r="C22" s="4" t="n"/>
      <c r="D22" s="4" t="n"/>
      <c r="E22" s="5" t="n"/>
      <c r="F22" s="5" t="n"/>
      <c r="G22" s="2" t="n"/>
      <c r="H22" s="2" t="n"/>
      <c r="I22" s="7">
        <f>IF(AND(H22&lt;&gt;"",G22&lt;&gt;""),H22-G22,"")</f>
        <v/>
      </c>
      <c r="J22" s="3" t="n"/>
    </row>
    <row r="23">
      <c r="A23" s="2" t="n"/>
      <c r="B23" s="3" t="n"/>
      <c r="C23" s="4" t="n"/>
      <c r="D23" s="4" t="n"/>
      <c r="E23" s="5" t="n"/>
      <c r="F23" s="5" t="n"/>
      <c r="G23" s="2" t="n"/>
      <c r="H23" s="2" t="n"/>
      <c r="I23" s="7">
        <f>IF(AND(H23&lt;&gt;"",G23&lt;&gt;""),H23-G23,"")</f>
        <v/>
      </c>
      <c r="J23" s="3" t="n"/>
    </row>
    <row r="24">
      <c r="A24" s="2" t="n"/>
      <c r="B24" s="3" t="n"/>
      <c r="C24" s="4" t="n"/>
      <c r="D24" s="4" t="n"/>
      <c r="E24" s="5" t="n"/>
      <c r="F24" s="5" t="n"/>
      <c r="G24" s="2" t="n"/>
      <c r="H24" s="2" t="n"/>
      <c r="I24" s="7">
        <f>IF(AND(H24&lt;&gt;"",G24&lt;&gt;""),H24-G24,"")</f>
        <v/>
      </c>
      <c r="J24" s="3" t="n"/>
    </row>
    <row r="25">
      <c r="A25" s="2" t="n"/>
      <c r="B25" s="3" t="n"/>
      <c r="C25" s="4" t="n"/>
      <c r="D25" s="4" t="n"/>
      <c r="E25" s="5" t="n"/>
      <c r="F25" s="5" t="n"/>
      <c r="G25" s="2" t="n"/>
      <c r="H25" s="2" t="n"/>
      <c r="I25" s="7">
        <f>IF(AND(H25&lt;&gt;"",G25&lt;&gt;""),H25-G25,"")</f>
        <v/>
      </c>
      <c r="J25" s="3" t="n"/>
    </row>
    <row r="26">
      <c r="A26" s="2" t="n"/>
      <c r="B26" s="3" t="n"/>
      <c r="C26" s="4" t="n"/>
      <c r="D26" s="4" t="n"/>
      <c r="E26" s="5" t="n"/>
      <c r="F26" s="5" t="n"/>
      <c r="G26" s="2" t="n"/>
      <c r="H26" s="2" t="n"/>
      <c r="I26" s="7">
        <f>IF(AND(H26&lt;&gt;"",G26&lt;&gt;""),H26-G26,"")</f>
        <v/>
      </c>
      <c r="J26" s="3" t="n"/>
    </row>
    <row r="27">
      <c r="A27" s="2" t="n"/>
      <c r="B27" s="3" t="n"/>
      <c r="C27" s="4" t="n"/>
      <c r="D27" s="4" t="n"/>
      <c r="E27" s="5" t="n"/>
      <c r="F27" s="5" t="n"/>
      <c r="G27" s="2" t="n"/>
      <c r="H27" s="2" t="n"/>
      <c r="I27" s="7">
        <f>IF(AND(H27&lt;&gt;"",G27&lt;&gt;""),H27-G27,"")</f>
        <v/>
      </c>
      <c r="J27" s="3" t="n"/>
    </row>
    <row r="28">
      <c r="A28" s="2" t="n"/>
      <c r="B28" s="3" t="n"/>
      <c r="C28" s="4" t="n"/>
      <c r="D28" s="4" t="n"/>
      <c r="E28" s="5" t="n"/>
      <c r="F28" s="5" t="n"/>
      <c r="G28" s="2" t="n"/>
      <c r="H28" s="2" t="n"/>
      <c r="I28" s="7">
        <f>IF(AND(H28&lt;&gt;"",G28&lt;&gt;""),H28-G28,"")</f>
        <v/>
      </c>
      <c r="J28" s="3" t="n"/>
    </row>
    <row r="29">
      <c r="A29" s="2" t="n"/>
      <c r="B29" s="3" t="n"/>
      <c r="C29" s="4" t="n"/>
      <c r="D29" s="4" t="n"/>
      <c r="E29" s="5" t="n"/>
      <c r="F29" s="5" t="n"/>
      <c r="G29" s="2" t="n"/>
      <c r="H29" s="2" t="n"/>
      <c r="I29" s="7">
        <f>IF(AND(H29&lt;&gt;"",G29&lt;&gt;""),H29-G29,"")</f>
        <v/>
      </c>
      <c r="J29" s="3" t="n"/>
    </row>
    <row r="30">
      <c r="A30" s="2" t="n"/>
      <c r="B30" s="3" t="n"/>
      <c r="C30" s="4" t="n"/>
      <c r="D30" s="4" t="n"/>
      <c r="E30" s="5" t="n"/>
      <c r="F30" s="5" t="n"/>
      <c r="G30" s="2" t="n"/>
      <c r="H30" s="2" t="n"/>
      <c r="I30" s="7">
        <f>IF(AND(H30&lt;&gt;"",G30&lt;&gt;""),H30-G30,"")</f>
        <v/>
      </c>
      <c r="J30" s="3" t="n"/>
    </row>
    <row r="31">
      <c r="A31" s="2" t="n"/>
      <c r="B31" s="3" t="n"/>
      <c r="C31" s="4" t="n"/>
      <c r="D31" s="4" t="n"/>
      <c r="E31" s="5" t="n"/>
      <c r="F31" s="5" t="n"/>
      <c r="G31" s="2" t="n"/>
      <c r="H31" s="2" t="n"/>
      <c r="I31" s="7">
        <f>IF(AND(H31&lt;&gt;"",G31&lt;&gt;""),H31-G31,"")</f>
        <v/>
      </c>
      <c r="J31" s="3" t="n"/>
    </row>
    <row r="32">
      <c r="A32" s="2" t="n"/>
      <c r="B32" s="3" t="n"/>
      <c r="C32" s="4" t="n"/>
      <c r="D32" s="4" t="n"/>
      <c r="E32" s="5" t="n"/>
      <c r="F32" s="5" t="n"/>
      <c r="G32" s="2" t="n"/>
      <c r="H32" s="2" t="n"/>
      <c r="I32" s="7">
        <f>IF(AND(H32&lt;&gt;"",G32&lt;&gt;""),H32-G32,"")</f>
        <v/>
      </c>
      <c r="J32" s="3" t="n"/>
    </row>
    <row r="33">
      <c r="A33" s="2" t="n"/>
      <c r="B33" s="3" t="n"/>
      <c r="C33" s="4" t="n"/>
      <c r="D33" s="4" t="n"/>
      <c r="E33" s="5" t="n"/>
      <c r="F33" s="5" t="n"/>
      <c r="G33" s="2" t="n"/>
      <c r="H33" s="2" t="n"/>
      <c r="I33" s="7">
        <f>IF(AND(H33&lt;&gt;"",G33&lt;&gt;""),H33-G33,"")</f>
        <v/>
      </c>
      <c r="J33" s="3" t="n"/>
    </row>
    <row r="34">
      <c r="A34" s="2" t="n"/>
      <c r="B34" s="3" t="n"/>
      <c r="C34" s="4" t="n"/>
      <c r="D34" s="4" t="n"/>
      <c r="E34" s="5" t="n"/>
      <c r="F34" s="5" t="n"/>
      <c r="G34" s="2" t="n"/>
      <c r="H34" s="2" t="n"/>
      <c r="I34" s="7">
        <f>IF(AND(H34&lt;&gt;"",G34&lt;&gt;""),H34-G34,"")</f>
        <v/>
      </c>
      <c r="J34" s="3" t="n"/>
    </row>
    <row r="35">
      <c r="A35" s="2" t="n"/>
      <c r="B35" s="3" t="n"/>
      <c r="C35" s="4" t="n"/>
      <c r="D35" s="4" t="n"/>
      <c r="E35" s="5" t="n"/>
      <c r="F35" s="5" t="n"/>
      <c r="G35" s="2" t="n"/>
      <c r="H35" s="2" t="n"/>
      <c r="I35" s="7">
        <f>IF(AND(H35&lt;&gt;"",G35&lt;&gt;""),H35-G35,"")</f>
        <v/>
      </c>
      <c r="J35" s="3" t="n"/>
    </row>
    <row r="36">
      <c r="A36" s="2" t="n"/>
      <c r="B36" s="3" t="n"/>
      <c r="C36" s="4" t="n"/>
      <c r="D36" s="4" t="n"/>
      <c r="E36" s="5" t="n"/>
      <c r="F36" s="5" t="n"/>
      <c r="G36" s="2" t="n"/>
      <c r="H36" s="2" t="n"/>
      <c r="I36" s="7">
        <f>IF(AND(H36&lt;&gt;"",G36&lt;&gt;""),H36-G36,"")</f>
        <v/>
      </c>
      <c r="J36" s="3" t="n"/>
    </row>
    <row r="37">
      <c r="A37" s="2" t="n"/>
      <c r="B37" s="3" t="n"/>
      <c r="C37" s="4" t="n"/>
      <c r="D37" s="4" t="n"/>
      <c r="E37" s="5" t="n"/>
      <c r="F37" s="5" t="n"/>
      <c r="G37" s="2" t="n"/>
      <c r="H37" s="2" t="n"/>
      <c r="I37" s="7">
        <f>IF(AND(H37&lt;&gt;"",G37&lt;&gt;""),H37-G37,"")</f>
        <v/>
      </c>
      <c r="J37" s="3" t="n"/>
    </row>
    <row r="38">
      <c r="A38" s="2" t="n"/>
      <c r="B38" s="3" t="n"/>
      <c r="C38" s="4" t="n"/>
      <c r="D38" s="4" t="n"/>
      <c r="E38" s="5" t="n"/>
      <c r="F38" s="5" t="n"/>
      <c r="G38" s="2" t="n"/>
      <c r="H38" s="2" t="n"/>
      <c r="I38" s="7">
        <f>IF(AND(H38&lt;&gt;"",G38&lt;&gt;""),H38-G38,"")</f>
        <v/>
      </c>
      <c r="J38" s="3" t="n"/>
    </row>
    <row r="39">
      <c r="A39" s="2" t="n"/>
      <c r="B39" s="3" t="n"/>
      <c r="C39" s="4" t="n"/>
      <c r="D39" s="4" t="n"/>
      <c r="E39" s="5" t="n"/>
      <c r="F39" s="5" t="n"/>
      <c r="G39" s="2" t="n"/>
      <c r="H39" s="2" t="n"/>
      <c r="I39" s="7">
        <f>IF(AND(H39&lt;&gt;"",G39&lt;&gt;""),H39-G39,"")</f>
        <v/>
      </c>
      <c r="J39" s="3" t="n"/>
    </row>
    <row r="40">
      <c r="A40" s="2" t="n"/>
      <c r="B40" s="3" t="n"/>
      <c r="C40" s="4" t="n"/>
      <c r="D40" s="4" t="n"/>
      <c r="E40" s="5" t="n"/>
      <c r="F40" s="5" t="n"/>
      <c r="G40" s="2" t="n"/>
      <c r="H40" s="2" t="n"/>
      <c r="I40" s="7">
        <f>IF(AND(H40&lt;&gt;"",G40&lt;&gt;""),H40-G40,"")</f>
        <v/>
      </c>
      <c r="J40" s="3" t="n"/>
    </row>
    <row r="41">
      <c r="A41" s="2" t="n"/>
      <c r="B41" s="3" t="n"/>
      <c r="C41" s="4" t="n"/>
      <c r="D41" s="4" t="n"/>
      <c r="E41" s="5" t="n"/>
      <c r="F41" s="5" t="n"/>
      <c r="G41" s="2" t="n"/>
      <c r="H41" s="2" t="n"/>
      <c r="I41" s="7">
        <f>IF(AND(H41&lt;&gt;"",G41&lt;&gt;""),H41-G41,"")</f>
        <v/>
      </c>
      <c r="J41" s="3" t="n"/>
    </row>
    <row r="42">
      <c r="A42" s="2" t="n"/>
      <c r="B42" s="3" t="n"/>
      <c r="C42" s="4" t="n"/>
      <c r="D42" s="4" t="n"/>
      <c r="E42" s="5" t="n"/>
      <c r="F42" s="5" t="n"/>
      <c r="G42" s="2" t="n"/>
      <c r="H42" s="2" t="n"/>
      <c r="I42" s="7">
        <f>IF(AND(H42&lt;&gt;"",G42&lt;&gt;""),H42-G42,"")</f>
        <v/>
      </c>
      <c r="J42" s="3" t="n"/>
    </row>
    <row r="43">
      <c r="A43" s="2" t="n"/>
      <c r="B43" s="3" t="n"/>
      <c r="C43" s="4" t="n"/>
      <c r="D43" s="4" t="n"/>
      <c r="E43" s="5" t="n"/>
      <c r="F43" s="5" t="n"/>
      <c r="G43" s="2" t="n"/>
      <c r="H43" s="2" t="n"/>
      <c r="I43" s="7">
        <f>IF(AND(H43&lt;&gt;"",G43&lt;&gt;""),H43-G43,"")</f>
        <v/>
      </c>
      <c r="J43" s="3" t="n"/>
    </row>
    <row r="44">
      <c r="A44" s="2" t="n"/>
      <c r="B44" s="3" t="n"/>
      <c r="C44" s="4" t="n"/>
      <c r="D44" s="4" t="n"/>
      <c r="E44" s="5" t="n"/>
      <c r="F44" s="5" t="n"/>
      <c r="G44" s="2" t="n"/>
      <c r="H44" s="2" t="n"/>
      <c r="I44" s="7">
        <f>IF(AND(H44&lt;&gt;"",G44&lt;&gt;""),H44-G44,"")</f>
        <v/>
      </c>
      <c r="J44" s="3" t="n"/>
    </row>
    <row r="45">
      <c r="A45" s="2" t="n"/>
      <c r="B45" s="3" t="n"/>
      <c r="C45" s="4" t="n"/>
      <c r="D45" s="4" t="n"/>
      <c r="E45" s="5" t="n"/>
      <c r="F45" s="5" t="n"/>
      <c r="G45" s="2" t="n"/>
      <c r="H45" s="2" t="n"/>
      <c r="I45" s="7">
        <f>IF(AND(H45&lt;&gt;"",G45&lt;&gt;""),H45-G45,"")</f>
        <v/>
      </c>
      <c r="J45" s="3" t="n"/>
    </row>
    <row r="46">
      <c r="A46" s="2" t="n"/>
      <c r="B46" s="3" t="n"/>
      <c r="C46" s="4" t="n"/>
      <c r="D46" s="4" t="n"/>
      <c r="E46" s="5" t="n"/>
      <c r="F46" s="5" t="n"/>
      <c r="G46" s="2" t="n"/>
      <c r="H46" s="2" t="n"/>
      <c r="I46" s="7">
        <f>IF(AND(H46&lt;&gt;"",G46&lt;&gt;""),H46-G46,"")</f>
        <v/>
      </c>
      <c r="J46" s="3" t="n"/>
    </row>
    <row r="47">
      <c r="A47" s="2" t="n"/>
      <c r="B47" s="3" t="n"/>
      <c r="C47" s="4" t="n"/>
      <c r="D47" s="4" t="n"/>
      <c r="E47" s="5" t="n"/>
      <c r="F47" s="5" t="n"/>
      <c r="G47" s="2" t="n"/>
      <c r="H47" s="2" t="n"/>
      <c r="I47" s="7">
        <f>IF(AND(H47&lt;&gt;"",G47&lt;&gt;""),H47-G47,"")</f>
        <v/>
      </c>
      <c r="J47" s="3" t="n"/>
    </row>
    <row r="48">
      <c r="A48" s="2" t="n"/>
      <c r="B48" s="3" t="n"/>
      <c r="C48" s="4" t="n"/>
      <c r="D48" s="4" t="n"/>
      <c r="E48" s="5" t="n"/>
      <c r="F48" s="5" t="n"/>
      <c r="G48" s="2" t="n"/>
      <c r="H48" s="2" t="n"/>
      <c r="I48" s="7">
        <f>IF(AND(H48&lt;&gt;"",G48&lt;&gt;""),H48-G48,"")</f>
        <v/>
      </c>
      <c r="J48" s="3" t="n"/>
    </row>
    <row r="49">
      <c r="A49" s="2" t="n"/>
      <c r="B49" s="3" t="n"/>
      <c r="C49" s="4" t="n"/>
      <c r="D49" s="4" t="n"/>
      <c r="E49" s="5" t="n"/>
      <c r="F49" s="5" t="n"/>
      <c r="G49" s="2" t="n"/>
      <c r="H49" s="2" t="n"/>
      <c r="I49" s="7">
        <f>IF(AND(H49&lt;&gt;"",G49&lt;&gt;""),H49-G49,"")</f>
        <v/>
      </c>
      <c r="J49" s="3" t="n"/>
    </row>
    <row r="50">
      <c r="A50" s="2" t="n"/>
      <c r="B50" s="3" t="n"/>
      <c r="C50" s="4" t="n"/>
      <c r="D50" s="4" t="n"/>
      <c r="E50" s="5" t="n"/>
      <c r="F50" s="5" t="n"/>
      <c r="G50" s="2" t="n"/>
      <c r="H50" s="2" t="n"/>
      <c r="I50" s="7">
        <f>IF(AND(H50&lt;&gt;"",G50&lt;&gt;""),H50-G50,"")</f>
        <v/>
      </c>
      <c r="J50" s="3" t="n"/>
    </row>
    <row r="51">
      <c r="A51" s="2" t="n"/>
      <c r="B51" s="3" t="n"/>
      <c r="C51" s="4" t="n"/>
      <c r="D51" s="4" t="n"/>
      <c r="E51" s="5" t="n"/>
      <c r="F51" s="5" t="n"/>
      <c r="G51" s="2" t="n"/>
      <c r="H51" s="2" t="n"/>
      <c r="I51" s="7">
        <f>IF(AND(H51&lt;&gt;"",G51&lt;&gt;""),H51-G51,"")</f>
        <v/>
      </c>
      <c r="J51" s="3" t="n"/>
    </row>
    <row r="52">
      <c r="A52" s="8" t="inlineStr">
        <is>
          <t>TOTALS</t>
        </is>
      </c>
      <c r="B52" s="9" t="n"/>
      <c r="C52" s="9" t="n"/>
      <c r="D52" s="9" t="n"/>
      <c r="E52" s="10">
        <f>SUM(E2:E51)</f>
        <v/>
      </c>
      <c r="F52" s="10">
        <f>SUM(F2:F51)</f>
        <v/>
      </c>
      <c r="G52" s="9" t="n"/>
      <c r="H52" s="9" t="n"/>
      <c r="I52" s="9" t="n"/>
      <c r="J52" s="9" t="n"/>
    </row>
  </sheetData>
  <autoFilter ref="A1:J51"/>
  <conditionalFormatting sqref="D2:D51">
    <cfRule type="cellIs" priority="1" operator="equal" dxfId="0">
      <formula>"Approved"</formula>
    </cfRule>
    <cfRule type="cellIs" priority="2" operator="equal" dxfId="1">
      <formula>"Pending"</formula>
    </cfRule>
    <cfRule type="cellIs" priority="3" operator="equal" dxfId="2">
      <formula>"Rejected"</formula>
    </cfRule>
  </conditionalFormatting>
  <dataValidations count="1">
    <dataValidation sqref="D2:D51" showDropDown="0" showInputMessage="0" showErrorMessage="0" allowBlank="1" errorTitle="Invalid Status" error="Please select a valid status: Submitted, Approved, Pending, or Rejected" promptTitle="Status" prompt="Select status from dropdown" type="list">
      <formula1>"Submitted,Approved,Pending,Rejected"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s="12" t="inlineStr">
        <is>
          <t>Total Change Orders</t>
        </is>
      </c>
      <c r="B2" s="13">
        <f>COUNTA('Change Order Log'!A2:A51)</f>
        <v/>
      </c>
    </row>
    <row r="3">
      <c r="A3" s="12" t="inlineStr">
        <is>
          <t>Total Amount ($)</t>
        </is>
      </c>
      <c r="B3" s="14">
        <f>SUM('Change Order Log'!E2:E51)</f>
        <v/>
      </c>
    </row>
    <row r="4">
      <c r="A4" s="12" t="inlineStr">
        <is>
          <t>Total Approved Amount ($)</t>
        </is>
      </c>
      <c r="B4" s="14">
        <f>SUM('Change Order Log'!F2:F51)</f>
        <v/>
      </c>
    </row>
    <row r="5">
      <c r="A5" s="15" t="inlineStr">
        <is>
          <t>Status Breakdown</t>
        </is>
      </c>
      <c r="B5" s="8" t="inlineStr"/>
    </row>
    <row r="6">
      <c r="A6" s="16" t="inlineStr">
        <is>
          <t>Status: Submitted</t>
        </is>
      </c>
      <c r="B6" s="2">
        <f>COUNTIF('Change Order Log'!D2:D51,"Submitted")</f>
        <v/>
      </c>
    </row>
    <row r="7">
      <c r="A7" s="16" t="inlineStr">
        <is>
          <t>Status: Approved</t>
        </is>
      </c>
      <c r="B7" s="2">
        <f>COUNTIF('Change Order Log'!D2:D51,"Approved")</f>
        <v/>
      </c>
    </row>
    <row r="8">
      <c r="A8" s="16" t="inlineStr">
        <is>
          <t>Status: Pending</t>
        </is>
      </c>
      <c r="B8" s="2">
        <f>COUNTIF('Change Order Log'!D2:D51,"Pending")</f>
        <v/>
      </c>
    </row>
    <row r="9">
      <c r="A9" s="16" t="inlineStr">
        <is>
          <t>Status: Rejected</t>
        </is>
      </c>
      <c r="B9" s="2">
        <f>COUNTIF('Change Order Log'!D2:D51,"Rejected")</f>
        <v/>
      </c>
    </row>
    <row r="10">
      <c r="A10" s="16" t="inlineStr"/>
      <c r="B10" s="2" t="inlineStr"/>
    </row>
    <row r="11">
      <c r="A11" s="12" t="inlineStr">
        <is>
          <t>Approved / Total Ratio</t>
        </is>
      </c>
      <c r="B11" s="17">
        <f>IFERROR(C4/C3,"N/A")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2026-06-07T19:47:41Z</dcterms:created>
  <dcterms:modified xmlns:dcterms="http://purl.org/dc/terms/" xmlns:xsi="http://www.w3.org/2001/XMLSchema-instance" xsi:type="dcterms:W3CDTF">2026-06-07T19:47:41Z</dcterms:modified>
</cp:coreProperties>
</file>