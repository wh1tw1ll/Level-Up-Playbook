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Tracker" sheetId="1" state="visible" r:id="rId1"/>
    <sheet xmlns:r="http://schemas.openxmlformats.org/officeDocument/2006/relationships" name="Contingency Log" sheetId="2" state="visible" r:id="rId2"/>
  </sheets>
  <definedNames>
    <definedName name="_xlnm._FilterDatabase" localSheetId="0" hidden="1">'Budget Tracker'!$A$1:$J$13</definedName>
    <definedName name="_xlnm._FilterDatabase" localSheetId="1" hidden="1">'Contingency Log'!$A$1:$G$7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8080"/>
        <bgColor rgb="00008080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8" customWidth="1" min="3" max="3"/>
    <col width="20" customWidth="1" min="4" max="4"/>
    <col width="18" customWidth="1" min="5" max="5"/>
    <col width="22" customWidth="1" min="6" max="6"/>
    <col width="14" customWidth="1" min="7" max="7"/>
    <col width="22" customWidth="1" min="8" max="8"/>
    <col width="18" customWidth="1" min="9" max="9"/>
    <col width="16" customWidth="1" min="10" max="10"/>
  </cols>
  <sheetData>
    <row r="1" ht="30" customHeight="1">
      <c r="A1" s="1" t="inlineStr">
        <is>
          <t>Line Item</t>
        </is>
      </c>
      <c r="B1" s="1" t="inlineStr">
        <is>
          <t>Original Budget ($)</t>
        </is>
      </c>
      <c r="C1" s="1" t="inlineStr">
        <is>
          <t>Approved COs ($)</t>
        </is>
      </c>
      <c r="D1" s="1" t="inlineStr">
        <is>
          <t>Revised Budget ($)</t>
        </is>
      </c>
      <c r="E1" s="1" t="inlineStr">
        <is>
          <t>Committed ($)</t>
        </is>
      </c>
      <c r="F1" s="1" t="inlineStr">
        <is>
          <t>Expended to Date ($)</t>
        </is>
      </c>
      <c r="G1" s="1" t="inlineStr">
        <is>
          <t>% Complete</t>
        </is>
      </c>
      <c r="H1" s="1" t="inlineStr">
        <is>
          <t>Remaining Budget ($)</t>
        </is>
      </c>
      <c r="I1" s="1" t="inlineStr">
        <is>
          <t>Variance ($)</t>
        </is>
      </c>
      <c r="J1" s="1" t="inlineStr">
        <is>
          <t>Status</t>
        </is>
      </c>
    </row>
    <row r="2">
      <c r="A2" s="2" t="inlineStr">
        <is>
          <t>General Conditions</t>
        </is>
      </c>
      <c r="B2" s="3" t="n">
        <v>45000000</v>
      </c>
      <c r="C2" s="3" t="n">
        <v>2000000</v>
      </c>
      <c r="D2" s="3">
        <f>IFERROR(B2+C2,0)</f>
        <v/>
      </c>
      <c r="E2" s="3" t="n">
        <v>46500000</v>
      </c>
      <c r="F2" s="3" t="n">
        <v>44800000</v>
      </c>
      <c r="G2" s="4">
        <f>IFERROR(F2/D2,0)</f>
        <v/>
      </c>
      <c r="H2" s="3">
        <f>D2-F2</f>
        <v/>
      </c>
      <c r="I2" s="3">
        <f>D2-F2-E2</f>
        <v/>
      </c>
      <c r="J2" s="5">
        <f>IF(I2&lt;0,"Over Budget",IF(I2=0,"On Budget","Under Budget"))</f>
        <v/>
      </c>
    </row>
    <row r="3">
      <c r="A3" s="2" t="inlineStr">
        <is>
          <t>Site Work</t>
        </is>
      </c>
      <c r="B3" s="3" t="n">
        <v>38000000</v>
      </c>
      <c r="C3" s="3" t="n">
        <v>1500000</v>
      </c>
      <c r="D3" s="3">
        <f>IFERROR(B3+C3,0)</f>
        <v/>
      </c>
      <c r="E3" s="3" t="n">
        <v>38200000</v>
      </c>
      <c r="F3" s="3" t="n">
        <v>36100000</v>
      </c>
      <c r="G3" s="4">
        <f>IFERROR(F3/D3,0)</f>
        <v/>
      </c>
      <c r="H3" s="3">
        <f>D3-F3</f>
        <v/>
      </c>
      <c r="I3" s="3">
        <f>D3-F3-E3</f>
        <v/>
      </c>
      <c r="J3" s="5">
        <f>IF(I3&lt;0,"Over Budget",IF(I3=0,"On Budget","Under Budget"))</f>
        <v/>
      </c>
    </row>
    <row r="4">
      <c r="A4" s="2" t="inlineStr">
        <is>
          <t>Concrete</t>
        </is>
      </c>
      <c r="B4" s="3" t="n">
        <v>62000000</v>
      </c>
      <c r="C4" s="3" t="n">
        <v>800000</v>
      </c>
      <c r="D4" s="3">
        <f>IFERROR(B4+C4,0)</f>
        <v/>
      </c>
      <c r="E4" s="3" t="n">
        <v>61500000</v>
      </c>
      <c r="F4" s="3" t="n">
        <v>59200000</v>
      </c>
      <c r="G4" s="4">
        <f>IFERROR(F4/D4,0)</f>
        <v/>
      </c>
      <c r="H4" s="3">
        <f>D4-F4</f>
        <v/>
      </c>
      <c r="I4" s="3">
        <f>D4-F4-E4</f>
        <v/>
      </c>
      <c r="J4" s="5">
        <f>IF(I4&lt;0,"Over Budget",IF(I4=0,"On Budget","Under Budget"))</f>
        <v/>
      </c>
    </row>
    <row r="5">
      <c r="A5" s="2" t="inlineStr">
        <is>
          <t>Steel</t>
        </is>
      </c>
      <c r="B5" s="3" t="n">
        <v>55000000</v>
      </c>
      <c r="C5" s="3" t="n">
        <v>1200000</v>
      </c>
      <c r="D5" s="3">
        <f>IFERROR(B5+C5,0)</f>
        <v/>
      </c>
      <c r="E5" s="3" t="n">
        <v>54800000</v>
      </c>
      <c r="F5" s="3" t="n">
        <v>52500000</v>
      </c>
      <c r="G5" s="4">
        <f>IFERROR(F5/D5,0)</f>
        <v/>
      </c>
      <c r="H5" s="3">
        <f>D5-F5</f>
        <v/>
      </c>
      <c r="I5" s="3">
        <f>D5-F5-E5</f>
        <v/>
      </c>
      <c r="J5" s="5">
        <f>IF(I5&lt;0,"Over Budget",IF(I5=0,"On Budget","Under Budget"))</f>
        <v/>
      </c>
    </row>
    <row r="6">
      <c r="A6" s="2" t="inlineStr">
        <is>
          <t>MEP</t>
        </is>
      </c>
      <c r="B6" s="3" t="n">
        <v>120000000</v>
      </c>
      <c r="C6" s="3" t="n">
        <v>3000000</v>
      </c>
      <c r="D6" s="3">
        <f>IFERROR(B6+C6,0)</f>
        <v/>
      </c>
      <c r="E6" s="3" t="n">
        <v>115000000</v>
      </c>
      <c r="F6" s="3" t="n">
        <v>108000000</v>
      </c>
      <c r="G6" s="4">
        <f>IFERROR(F6/D6,0)</f>
        <v/>
      </c>
      <c r="H6" s="3">
        <f>D6-F6</f>
        <v/>
      </c>
      <c r="I6" s="3">
        <f>D6-F6-E6</f>
        <v/>
      </c>
      <c r="J6" s="5">
        <f>IF(I6&lt;0,"Over Budget",IF(I6=0,"On Budget","Under Budget"))</f>
        <v/>
      </c>
    </row>
    <row r="7">
      <c r="A7" s="2" t="inlineStr">
        <is>
          <t>Finishes</t>
        </is>
      </c>
      <c r="B7" s="3" t="n">
        <v>48000000</v>
      </c>
      <c r="C7" s="3" t="n">
        <v>1000000</v>
      </c>
      <c r="D7" s="3">
        <f>IFERROR(B7+C7,0)</f>
        <v/>
      </c>
      <c r="E7" s="3" t="n">
        <v>46500000</v>
      </c>
      <c r="F7" s="3" t="n">
        <v>42300000</v>
      </c>
      <c r="G7" s="4">
        <f>IFERROR(F7/D7,0)</f>
        <v/>
      </c>
      <c r="H7" s="3">
        <f>D7-F7</f>
        <v/>
      </c>
      <c r="I7" s="3">
        <f>D7-F7-E7</f>
        <v/>
      </c>
      <c r="J7" s="5">
        <f>IF(I7&lt;0,"Over Budget",IF(I7=0,"On Budget","Under Budget"))</f>
        <v/>
      </c>
    </row>
    <row r="8">
      <c r="A8" s="2" t="inlineStr">
        <is>
          <t>Technology</t>
        </is>
      </c>
      <c r="B8" s="3" t="n">
        <v>35000000</v>
      </c>
      <c r="C8" s="3" t="n">
        <v>2500000</v>
      </c>
      <c r="D8" s="3">
        <f>IFERROR(B8+C8,0)</f>
        <v/>
      </c>
      <c r="E8" s="3" t="n">
        <v>34200000</v>
      </c>
      <c r="F8" s="3" t="n">
        <v>30100000</v>
      </c>
      <c r="G8" s="4">
        <f>IFERROR(F8/D8,0)</f>
        <v/>
      </c>
      <c r="H8" s="3">
        <f>D8-F8</f>
        <v/>
      </c>
      <c r="I8" s="3">
        <f>D8-F8-E8</f>
        <v/>
      </c>
      <c r="J8" s="5">
        <f>IF(I8&lt;0,"Over Budget",IF(I8=0,"On Budget","Under Budget"))</f>
        <v/>
      </c>
    </row>
    <row r="9">
      <c r="A9" s="2" t="inlineStr">
        <is>
          <t>FF&amp;E</t>
        </is>
      </c>
      <c r="B9" s="3" t="n">
        <v>28000000</v>
      </c>
      <c r="C9" s="3" t="n">
        <v>1800000</v>
      </c>
      <c r="D9" s="3">
        <f>IFERROR(B9+C9,0)</f>
        <v/>
      </c>
      <c r="E9" s="3" t="n">
        <v>26800000</v>
      </c>
      <c r="F9" s="3" t="n">
        <v>24500000</v>
      </c>
      <c r="G9" s="4">
        <f>IFERROR(F9/D9,0)</f>
        <v/>
      </c>
      <c r="H9" s="3">
        <f>D9-F9</f>
        <v/>
      </c>
      <c r="I9" s="3">
        <f>D9-F9-E9</f>
        <v/>
      </c>
      <c r="J9" s="5">
        <f>IF(I9&lt;0,"Over Budget",IF(I9=0,"On Budget","Under Budget"))</f>
        <v/>
      </c>
    </row>
    <row r="10">
      <c r="A10" s="2" t="inlineStr">
        <is>
          <t>Design Fees</t>
        </is>
      </c>
      <c r="B10" s="3" t="n">
        <v>18000000</v>
      </c>
      <c r="C10" s="3" t="n">
        <v>500000</v>
      </c>
      <c r="D10" s="3">
        <f>IFERROR(B10+C10,0)</f>
        <v/>
      </c>
      <c r="E10" s="3" t="n">
        <v>18100000</v>
      </c>
      <c r="F10" s="3" t="n">
        <v>17600000</v>
      </c>
      <c r="G10" s="4">
        <f>IFERROR(F10/D10,0)</f>
        <v/>
      </c>
      <c r="H10" s="3">
        <f>D10-F10</f>
        <v/>
      </c>
      <c r="I10" s="3">
        <f>D10-F10-E10</f>
        <v/>
      </c>
      <c r="J10" s="5">
        <f>IF(I10&lt;0,"Over Budget",IF(I10=0,"On Budget","Under Budget"))</f>
        <v/>
      </c>
    </row>
    <row r="11">
      <c r="A11" s="2" t="inlineStr">
        <is>
          <t>CM Fees</t>
        </is>
      </c>
      <c r="B11" s="3" t="n">
        <v>22000000</v>
      </c>
      <c r="C11" s="3" t="n">
        <v>600000</v>
      </c>
      <c r="D11" s="3">
        <f>IFERROR(B11+C11,0)</f>
        <v/>
      </c>
      <c r="E11" s="3" t="n">
        <v>21800000</v>
      </c>
      <c r="F11" s="3" t="n">
        <v>20900000</v>
      </c>
      <c r="G11" s="4">
        <f>IFERROR(F11/D11,0)</f>
        <v/>
      </c>
      <c r="H11" s="3">
        <f>D11-F11</f>
        <v/>
      </c>
      <c r="I11" s="3">
        <f>D11-F11-E11</f>
        <v/>
      </c>
      <c r="J11" s="5">
        <f>IF(I11&lt;0,"Over Budget",IF(I11=0,"On Budget","Under Budget"))</f>
        <v/>
      </c>
    </row>
    <row r="12">
      <c r="A12" s="2" t="inlineStr">
        <is>
          <t>Contingency</t>
        </is>
      </c>
      <c r="B12" s="3" t="n">
        <v>82000000</v>
      </c>
      <c r="C12" s="3" t="n">
        <v>0</v>
      </c>
      <c r="D12" s="3">
        <f>IFERROR(B12+C12,0)</f>
        <v/>
      </c>
      <c r="E12" s="3" t="n">
        <v>0</v>
      </c>
      <c r="F12" s="3" t="n">
        <v>0</v>
      </c>
      <c r="G12" s="4">
        <f>IFERROR(F12/D12,0)</f>
        <v/>
      </c>
      <c r="H12" s="3">
        <f>D12-F12</f>
        <v/>
      </c>
      <c r="I12" s="3">
        <f>D12-F12-E12</f>
        <v/>
      </c>
      <c r="J12" s="5">
        <f>IF(I12&lt;0,"Over Budget",IF(I12=0,"On Budget","Under Budget"))</f>
        <v/>
      </c>
    </row>
    <row r="13">
      <c r="A13" s="6" t="inlineStr">
        <is>
          <t>TOTAL</t>
        </is>
      </c>
      <c r="B13" s="7">
        <f>SUM(B2:B12)</f>
        <v/>
      </c>
      <c r="C13" s="7">
        <f>SUM(C2:C12)</f>
        <v/>
      </c>
      <c r="D13" s="7">
        <f>SUM(D2:D12)</f>
        <v/>
      </c>
      <c r="E13" s="7">
        <f>SUM(E2:E12)</f>
        <v/>
      </c>
      <c r="F13" s="7">
        <f>SUM(F2:F12)</f>
        <v/>
      </c>
      <c r="G13" s="8">
        <f>IFERROR(F13/D13,0)</f>
        <v/>
      </c>
      <c r="H13" s="7">
        <f>SUM(H2:H12)</f>
        <v/>
      </c>
      <c r="I13" s="7">
        <f>SUM(I2:I12)</f>
        <v/>
      </c>
      <c r="J13" s="9" t="inlineStr"/>
    </row>
  </sheetData>
  <autoFilter ref="A1:J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45" customWidth="1" min="3" max="3"/>
    <col width="16" customWidth="1" min="4" max="4"/>
    <col width="22" customWidth="1" min="5" max="5"/>
    <col width="14" customWidth="1" min="6" max="6"/>
    <col width="22" customWidth="1" min="7" max="7"/>
  </cols>
  <sheetData>
    <row r="1" ht="30" customHeight="1">
      <c r="A1" s="1" t="inlineStr">
        <is>
          <t>Draw #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Amount ($)</t>
        </is>
      </c>
      <c r="E1" s="1" t="inlineStr">
        <is>
          <t>Running Balance ($)</t>
        </is>
      </c>
      <c r="F1" s="1" t="inlineStr">
        <is>
          <t>Status</t>
        </is>
      </c>
      <c r="G1" s="1" t="inlineStr">
        <is>
          <t>Approval Reference</t>
        </is>
      </c>
    </row>
    <row r="2">
      <c r="A2" s="5" t="n">
        <v>1</v>
      </c>
      <c r="B2" s="5" t="inlineStr">
        <is>
          <t>2026-01-15</t>
        </is>
      </c>
      <c r="C2" s="2" t="inlineStr">
        <is>
          <t>Site mobilization - unexpected rock removal</t>
        </is>
      </c>
      <c r="D2" s="3" t="n">
        <v>1200000</v>
      </c>
      <c r="E2" s="3">
        <f>'Budget Tracker'!D12-D2</f>
        <v/>
      </c>
      <c r="F2" s="5" t="inlineStr">
        <is>
          <t>Approved</t>
        </is>
      </c>
      <c r="G2" s="5" t="inlineStr">
        <is>
          <t>CO-001</t>
        </is>
      </c>
    </row>
    <row r="3">
      <c r="A3" s="5" t="n">
        <v>2</v>
      </c>
      <c r="B3" s="5" t="inlineStr">
        <is>
          <t>2026-02-20</t>
        </is>
      </c>
      <c r="C3" s="2" t="inlineStr">
        <is>
          <t>Steel price escalation - market adjustment</t>
        </is>
      </c>
      <c r="D3" s="3" t="n">
        <v>2500000</v>
      </c>
      <c r="E3" s="3">
        <f>E2-D3</f>
        <v/>
      </c>
      <c r="F3" s="5" t="inlineStr">
        <is>
          <t>Approved</t>
        </is>
      </c>
      <c r="G3" s="5" t="inlineStr">
        <is>
          <t>CO-015</t>
        </is>
      </c>
    </row>
    <row r="4">
      <c r="A4" s="5" t="n">
        <v>3</v>
      </c>
      <c r="B4" s="5" t="inlineStr">
        <is>
          <t>2026-03-10</t>
        </is>
      </c>
      <c r="C4" s="2" t="inlineStr">
        <is>
          <t>MEP coordination - additional ductwork</t>
        </is>
      </c>
      <c r="D4" s="3" t="n">
        <v>850000</v>
      </c>
      <c r="E4" s="3">
        <f>E3-D4</f>
        <v/>
      </c>
      <c r="F4" s="5" t="inlineStr">
        <is>
          <t>Approved</t>
        </is>
      </c>
      <c r="G4" s="5" t="inlineStr">
        <is>
          <t>CO-028</t>
        </is>
      </c>
    </row>
    <row r="5">
      <c r="A5" s="5" t="n">
        <v>4</v>
      </c>
      <c r="B5" s="5" t="inlineStr">
        <is>
          <t>2026-04-05</t>
        </is>
      </c>
      <c r="C5" s="2" t="inlineStr">
        <is>
          <t>Foundation redesign per geotechnical report</t>
        </is>
      </c>
      <c r="D5" s="3" t="n">
        <v>1800000</v>
      </c>
      <c r="E5" s="3">
        <f>E4-D5</f>
        <v/>
      </c>
      <c r="F5" s="5" t="inlineStr">
        <is>
          <t>Pending</t>
        </is>
      </c>
      <c r="G5" s="5" t="inlineStr">
        <is>
          <t>CO-042</t>
        </is>
      </c>
    </row>
    <row r="6">
      <c r="A6" s="5" t="n">
        <v>5</v>
      </c>
      <c r="B6" s="5" t="inlineStr">
        <is>
          <t>2026-05-12</t>
        </is>
      </c>
      <c r="C6" s="2" t="inlineStr">
        <is>
          <t>Facade system upgrade - energy compliance</t>
        </is>
      </c>
      <c r="D6" s="3" t="n">
        <v>1100000</v>
      </c>
      <c r="E6" s="3">
        <f>E5-D6</f>
        <v/>
      </c>
      <c r="F6" s="5" t="inlineStr">
        <is>
          <t>Approved</t>
        </is>
      </c>
      <c r="G6" s="5" t="inlineStr">
        <is>
          <t>CO-056</t>
        </is>
      </c>
    </row>
    <row r="7">
      <c r="A7" s="5" t="n">
        <v>6</v>
      </c>
      <c r="B7" s="5" t="inlineStr">
        <is>
          <t>2026-06-01</t>
        </is>
      </c>
      <c r="C7" s="2" t="inlineStr">
        <is>
          <t>Technology infrastructure - fiber backbone expansion</t>
        </is>
      </c>
      <c r="D7" s="3" t="n">
        <v>550000</v>
      </c>
      <c r="E7" s="3">
        <f>E6-D7</f>
        <v/>
      </c>
      <c r="F7" s="5" t="inlineStr">
        <is>
          <t>Submitted</t>
        </is>
      </c>
      <c r="G7" s="5" t="inlineStr">
        <is>
          <t>CO-071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2026-06-07T19:49:52Z</dcterms:created>
  <dcterms:modified xmlns:dcterms="http://purl.org/dc/terms/" xmlns:xsi="http://www.w3.org/2001/XMLSchema-instance" xsi:type="dcterms:W3CDTF">2026-06-07T19:49:52Z</dcterms:modified>
</cp:coreProperties>
</file>