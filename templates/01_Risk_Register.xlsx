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'Risk Register'!$A$1:$L$31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80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5" fontId="0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FF4444"/>
          <bgColor rgb="00FF4444"/>
        </patternFill>
      </fill>
    </dxf>
    <dxf>
      <font>
        <b val="1"/>
        <color rgb="00FFFFFF"/>
      </font>
      <fill>
        <patternFill patternType="solid">
          <fgColor rgb="00FF8800"/>
          <bgColor rgb="00FF8800"/>
        </patternFill>
      </fill>
    </dxf>
    <dxf>
      <fill>
        <patternFill patternType="solid">
          <fgColor rgb="00FFDD44"/>
          <bgColor rgb="00FFDD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  <col width="16" customWidth="1" min="4" max="4"/>
    <col width="14" customWidth="1" min="5" max="5"/>
    <col width="12" customWidth="1" min="6" max="6"/>
    <col width="12" customWidth="1" min="7" max="7"/>
    <col width="55" customWidth="1" min="8" max="8"/>
    <col width="20" customWidth="1" min="9" max="9"/>
    <col width="14" customWidth="1" min="10" max="10"/>
    <col width="14" customWidth="1" min="11" max="11"/>
    <col width="16" customWidth="1" min="12" max="12"/>
  </cols>
  <sheetData>
    <row r="1" ht="28" customHeight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Risk Score</t>
        </is>
      </c>
      <c r="G1" s="1" t="inlineStr">
        <is>
          <t>Risk Level</t>
        </is>
      </c>
      <c r="H1" s="1" t="inlineStr">
        <is>
          <t>Mitigation Strategy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Date Identified</t>
        </is>
      </c>
      <c r="L1" s="1" t="inlineStr">
        <is>
          <t>Target Close Date</t>
        </is>
      </c>
    </row>
    <row r="2" ht="36" customHeight="1">
      <c r="A2" s="2" t="inlineStr">
        <is>
          <t>R-001</t>
        </is>
      </c>
      <c r="B2" s="2" t="inlineStr">
        <is>
          <t>Procurement</t>
        </is>
      </c>
      <c r="C2" s="3" t="inlineStr">
        <is>
          <t>Steel procurement delay due to global supply chain disruptions impacting structural steel delivery</t>
        </is>
      </c>
      <c r="D2" s="2" t="inlineStr">
        <is>
          <t>4-High</t>
        </is>
      </c>
      <c r="E2" s="2" t="inlineStr">
        <is>
          <t>5-Critical</t>
        </is>
      </c>
      <c r="F2" s="2">
        <f>IF(D2="1-Very Low",1,IF(D2="2-Low",2,IF(D2="3-Medium",3,IF(D2="4-High",4,IF(D2="5-Very High",5,0)))))*IF(E2="1-Negligible",1,IF(E2="2-Minor",2,IF(E2="3-Moderate",3,IF(E2="4-Major",4,IF(E2="5-Critical",5,0)))))</f>
        <v/>
      </c>
      <c r="G2" s="2">
        <f>IF(F2&gt;=15,"Critical",IF(F2&gt;=10,"High",IF(F2&gt;=5,"Medium","Low")))</f>
        <v/>
      </c>
      <c r="H2" s="3" t="inlineStr">
        <is>
          <t>Pre-order critical steel items early; identify alternative suppliers in Mexico and Canada</t>
        </is>
      </c>
      <c r="I2" s="2" t="inlineStr">
        <is>
          <t>Sarah Chen</t>
        </is>
      </c>
      <c r="J2" s="2" t="inlineStr">
        <is>
          <t>Open</t>
        </is>
      </c>
      <c r="K2" s="4" t="n">
        <v>45882</v>
      </c>
      <c r="L2" s="4" t="n">
        <v>46007</v>
      </c>
    </row>
    <row r="3" ht="36" customHeight="1">
      <c r="A3" s="5" t="inlineStr">
        <is>
          <t>R-002</t>
        </is>
      </c>
      <c r="B3" s="5" t="inlineStr">
        <is>
          <t>Weather</t>
        </is>
      </c>
      <c r="C3" s="6" t="inlineStr">
        <is>
          <t>Unusually heavy rainfall delaying foundation excavation and concrete pour schedule</t>
        </is>
      </c>
      <c r="D3" s="5" t="inlineStr">
        <is>
          <t>3-Medium</t>
        </is>
      </c>
      <c r="E3" s="5" t="inlineStr">
        <is>
          <t>4-Major</t>
        </is>
      </c>
      <c r="F3" s="5">
        <f>IF(D3="1-Very Low",1,IF(D3="2-Low",2,IF(D3="3-Medium",3,IF(D3="4-High",4,IF(D3="5-Very High",5,0)))))*IF(E3="1-Negligible",1,IF(E3="2-Minor",2,IF(E3="3-Moderate",3,IF(E3="4-Major",4,IF(E3="5-Critical",5,0)))))</f>
        <v/>
      </c>
      <c r="G3" s="5">
        <f>IF(F3&gt;=15,"Critical",IF(F3&gt;=10,"High",IF(F3&gt;=5,"Medium","Low")))</f>
        <v/>
      </c>
      <c r="H3" s="6" t="inlineStr">
        <is>
          <t>Install temporary shelter structures; monitor 14-day forecast; add schedule buffer for Q2</t>
        </is>
      </c>
      <c r="I3" s="5" t="inlineStr">
        <is>
          <t>Mike Torres</t>
        </is>
      </c>
      <c r="J3" s="5" t="inlineStr">
        <is>
          <t>Open</t>
        </is>
      </c>
      <c r="K3" s="7" t="n">
        <v>45906</v>
      </c>
      <c r="L3" s="7" t="n">
        <v>45949</v>
      </c>
    </row>
    <row r="4" ht="36" customHeight="1">
      <c r="A4" s="2" t="inlineStr">
        <is>
          <t>R-003</t>
        </is>
      </c>
      <c r="B4" s="2" t="inlineStr">
        <is>
          <t>Labor</t>
        </is>
      </c>
      <c r="C4" s="3" t="inlineStr">
        <is>
          <t>Labor shortage of skilled ironworkers during peak erection phase</t>
        </is>
      </c>
      <c r="D4" s="2" t="inlineStr">
        <is>
          <t>4-High</t>
        </is>
      </c>
      <c r="E4" s="2" t="inlineStr">
        <is>
          <t>4-Major</t>
        </is>
      </c>
      <c r="F4" s="2">
        <f>IF(D4="1-Very Low",1,IF(D4="2-Low",2,IF(D4="3-Medium",3,IF(D4="4-High",4,IF(D4="5-Very High",5,0)))))*IF(E4="1-Negligible",1,IF(E4="2-Minor",2,IF(E4="3-Moderate",3,IF(E4="4-Major",4,IF(E4="5-Critical",5,0)))))</f>
        <v/>
      </c>
      <c r="G4" s="2">
        <f>IF(F4&gt;=15,"Critical",IF(F4&gt;=10,"High",IF(F4&gt;=5,"Medium","Low")))</f>
        <v/>
      </c>
      <c r="H4" s="3" t="inlineStr">
        <is>
          <t>Partner with local trade unions; offer per-diem incentives; recruit from adjacent states</t>
        </is>
      </c>
      <c r="I4" s="2" t="inlineStr">
        <is>
          <t>James Wilson</t>
        </is>
      </c>
      <c r="J4" s="2" t="inlineStr">
        <is>
          <t>Open</t>
        </is>
      </c>
      <c r="K4" s="4" t="n">
        <v>45869</v>
      </c>
      <c r="L4" s="4" t="n">
        <v>46008</v>
      </c>
    </row>
    <row r="5" ht="36" customHeight="1">
      <c r="A5" s="5" t="inlineStr">
        <is>
          <t>R-004</t>
        </is>
      </c>
      <c r="B5" s="5" t="inlineStr">
        <is>
          <t>Design</t>
        </is>
      </c>
      <c r="C5" s="6" t="inlineStr">
        <is>
          <t>Design change request from owner for expanded concourse width after slab pour</t>
        </is>
      </c>
      <c r="D5" s="5" t="inlineStr">
        <is>
          <t>3-Medium</t>
        </is>
      </c>
      <c r="E5" s="5" t="inlineStr">
        <is>
          <t>3-Moderate</t>
        </is>
      </c>
      <c r="F5" s="5">
        <f>IF(D5="1-Very Low",1,IF(D5="2-Low",2,IF(D5="3-Medium",3,IF(D5="4-High",4,IF(D5="5-Very High",5,0)))))*IF(E5="1-Negligible",1,IF(E5="2-Minor",2,IF(E5="3-Moderate",3,IF(E5="4-Major",4,IF(E5="5-Critical",5,0)))))</f>
        <v/>
      </c>
      <c r="G5" s="5">
        <f>IF(F5&gt;=15,"Critical",IF(F5&gt;=10,"High",IF(F5&gt;=5,"Medium","Low")))</f>
        <v/>
      </c>
      <c r="H5" s="6" t="inlineStr">
        <is>
          <t>Establish formal change order process; require owner sign-off before rework; track impact</t>
        </is>
      </c>
      <c r="I5" s="5" t="inlineStr">
        <is>
          <t>Rachel Kim</t>
        </is>
      </c>
      <c r="J5" s="5" t="inlineStr">
        <is>
          <t>Open</t>
        </is>
      </c>
      <c r="K5" s="7" t="n">
        <v>45878</v>
      </c>
      <c r="L5" s="7" t="n">
        <v>45936</v>
      </c>
    </row>
    <row r="6" ht="36" customHeight="1">
      <c r="A6" s="2" t="inlineStr">
        <is>
          <t>R-005</t>
        </is>
      </c>
      <c r="B6" s="2" t="inlineStr">
        <is>
          <t>Procurement</t>
        </is>
      </c>
      <c r="C6" s="3" t="inlineStr">
        <is>
          <t>Fabrication error in custom steel trusses for roof spanning main arena</t>
        </is>
      </c>
      <c r="D6" s="2" t="inlineStr">
        <is>
          <t>2-Low</t>
        </is>
      </c>
      <c r="E6" s="2" t="inlineStr">
        <is>
          <t>5-Critical</t>
        </is>
      </c>
      <c r="F6" s="2">
        <f>IF(D6="1-Very Low",1,IF(D6="2-Low",2,IF(D6="3-Medium",3,IF(D6="4-High",4,IF(D6="5-Very High",5,0)))))*IF(E6="1-Negligible",1,IF(E6="2-Minor",2,IF(E6="3-Moderate",3,IF(E6="4-Major",4,IF(E6="5-Critical",5,0)))))</f>
        <v/>
      </c>
      <c r="G6" s="2">
        <f>IF(F6&gt;=15,"Critical",IF(F6&gt;=10,"High",IF(F6&gt;=5,"Medium","Low")))</f>
        <v/>
      </c>
      <c r="H6" s="3" t="inlineStr">
        <is>
          <t>Mandate third-party shop drawing review; require mill certification for all steel</t>
        </is>
      </c>
      <c r="I6" s="2" t="inlineStr">
        <is>
          <t>Sarah Chen</t>
        </is>
      </c>
      <c r="J6" s="2" t="inlineStr">
        <is>
          <t>Open</t>
        </is>
      </c>
      <c r="K6" s="4" t="n">
        <v>45930</v>
      </c>
      <c r="L6" s="4" t="n">
        <v>46088</v>
      </c>
    </row>
    <row r="7" ht="36" customHeight="1">
      <c r="A7" s="5" t="inlineStr">
        <is>
          <t>R-006</t>
        </is>
      </c>
      <c r="B7" s="5" t="inlineStr">
        <is>
          <t>Safety</t>
        </is>
      </c>
      <c r="C7" s="6" t="inlineStr">
        <is>
          <t>OSHA fine exposure from fall protection violations on upper deck steel</t>
        </is>
      </c>
      <c r="D7" s="5" t="inlineStr">
        <is>
          <t>2-Low</t>
        </is>
      </c>
      <c r="E7" s="5" t="inlineStr">
        <is>
          <t>4-Major</t>
        </is>
      </c>
      <c r="F7" s="5">
        <f>IF(D7="1-Very Low",1,IF(D7="2-Low",2,IF(D7="3-Medium",3,IF(D7="4-High",4,IF(D7="5-Very High",5,0)))))*IF(E7="1-Negligible",1,IF(E7="2-Minor",2,IF(E7="3-Moderate",3,IF(E7="4-Major",4,IF(E7="5-Critical",5,0)))))</f>
        <v/>
      </c>
      <c r="G7" s="5">
        <f>IF(F7&gt;=15,"Critical",IF(F7&gt;=10,"High",IF(F7&gt;=5,"Medium","Low")))</f>
        <v/>
      </c>
      <c r="H7" s="6" t="inlineStr">
        <is>
          <t>Daily safety briefings; dedicated safety monitor per zone; full-body harness inspection</t>
        </is>
      </c>
      <c r="I7" s="5" t="inlineStr">
        <is>
          <t>David Park</t>
        </is>
      </c>
      <c r="J7" s="5" t="inlineStr">
        <is>
          <t>Open</t>
        </is>
      </c>
      <c r="K7" s="7" t="n">
        <v>45992</v>
      </c>
      <c r="L7" s="7" t="n">
        <v>46121</v>
      </c>
    </row>
    <row r="8" ht="36" customHeight="1">
      <c r="A8" s="2" t="inlineStr">
        <is>
          <t>R-007</t>
        </is>
      </c>
      <c r="B8" s="2" t="inlineStr">
        <is>
          <t>Labor</t>
        </is>
      </c>
      <c r="C8" s="3" t="inlineStr">
        <is>
          <t>Concrete batch plant strike delaying all ready-mix deliveries for 3 weeks</t>
        </is>
      </c>
      <c r="D8" s="2" t="inlineStr">
        <is>
          <t>2-Low</t>
        </is>
      </c>
      <c r="E8" s="2" t="inlineStr">
        <is>
          <t>4-Major</t>
        </is>
      </c>
      <c r="F8" s="2">
        <f>IF(D8="1-Very Low",1,IF(D8="2-Low",2,IF(D8="3-Medium",3,IF(D8="4-High",4,IF(D8="5-Very High",5,0)))))*IF(E8="1-Negligible",1,IF(E8="2-Minor",2,IF(E8="3-Moderate",3,IF(E8="4-Major",4,IF(E8="5-Critical",5,0)))))</f>
        <v/>
      </c>
      <c r="G8" s="2">
        <f>IF(F8&gt;=15,"Critical",IF(F8&gt;=10,"High",IF(F8&gt;=5,"Medium","Low")))</f>
        <v/>
      </c>
      <c r="H8" s="3" t="inlineStr">
        <is>
          <t>Pre-qualify backup batch plant 50 km radius; stockpile 500 CY of aggregate on site</t>
        </is>
      </c>
      <c r="I8" s="2" t="inlineStr">
        <is>
          <t>James Wilson</t>
        </is>
      </c>
      <c r="J8" s="2" t="inlineStr">
        <is>
          <t>Open</t>
        </is>
      </c>
      <c r="K8" s="4" t="n">
        <v>45926</v>
      </c>
      <c r="L8" s="4" t="n">
        <v>46024</v>
      </c>
    </row>
    <row r="9" ht="36" customHeight="1">
      <c r="A9" s="5" t="inlineStr">
        <is>
          <t>R-008</t>
        </is>
      </c>
      <c r="B9" s="5" t="inlineStr">
        <is>
          <t>Budget</t>
        </is>
      </c>
      <c r="C9" s="6" t="inlineStr">
        <is>
          <t>Budget overrun on site utilities relocation — water main and high-voltage lines</t>
        </is>
      </c>
      <c r="D9" s="5" t="inlineStr">
        <is>
          <t>3-Medium</t>
        </is>
      </c>
      <c r="E9" s="5" t="inlineStr">
        <is>
          <t>4-Major</t>
        </is>
      </c>
      <c r="F9" s="5">
        <f>IF(D9="1-Very Low",1,IF(D9="2-Low",2,IF(D9="3-Medium",3,IF(D9="4-High",4,IF(D9="5-Very High",5,0)))))*IF(E9="1-Negligible",1,IF(E9="2-Minor",2,IF(E9="3-Moderate",3,IF(E9="4-Major",4,IF(E9="5-Critical",5,0)))))</f>
        <v/>
      </c>
      <c r="G9" s="5">
        <f>IF(F9&gt;=15,"Critical",IF(F9&gt;=10,"High",IF(F9&gt;=5,"Medium","Low")))</f>
        <v/>
      </c>
      <c r="H9" s="6" t="inlineStr">
        <is>
          <t>Re-estimate utility relocation with civil engineer; request contingency release</t>
        </is>
      </c>
      <c r="I9" s="5" t="inlineStr">
        <is>
          <t>Lisa Patel</t>
        </is>
      </c>
      <c r="J9" s="5" t="inlineStr">
        <is>
          <t>Open</t>
        </is>
      </c>
      <c r="K9" s="7" t="n">
        <v>45905</v>
      </c>
      <c r="L9" s="7" t="n">
        <v>45950</v>
      </c>
    </row>
    <row r="10" ht="36" customHeight="1">
      <c r="A10" s="2" t="inlineStr">
        <is>
          <t>R-009</t>
        </is>
      </c>
      <c r="B10" s="2" t="inlineStr">
        <is>
          <t>Schedule</t>
        </is>
      </c>
      <c r="C10" s="3" t="inlineStr">
        <is>
          <t>Permit delay from city planning department for structural occupancy certificate</t>
        </is>
      </c>
      <c r="D10" s="2" t="inlineStr">
        <is>
          <t>3-Medium</t>
        </is>
      </c>
      <c r="E10" s="2" t="inlineStr">
        <is>
          <t>3-Moderate</t>
        </is>
      </c>
      <c r="F10" s="2">
        <f>IF(D10="1-Very Low",1,IF(D10="2-Low",2,IF(D10="3-Medium",3,IF(D10="4-High",4,IF(D10="5-Very High",5,0)))))*IF(E10="1-Negligible",1,IF(E10="2-Minor",2,IF(E10="3-Moderate",3,IF(E10="4-Major",4,IF(E10="5-Critical",5,0)))))</f>
        <v/>
      </c>
      <c r="G10" s="2">
        <f>IF(F10&gt;=15,"Critical",IF(F10&gt;=10,"High",IF(F10&gt;=5,"Medium","Low")))</f>
        <v/>
      </c>
      <c r="H10" s="3" t="inlineStr">
        <is>
          <t>Hire expediter; submit 2 weeks ahead of schedule; maintain daily follow-up with city</t>
        </is>
      </c>
      <c r="I10" s="2" t="inlineStr">
        <is>
          <t>Maria Gonzalez</t>
        </is>
      </c>
      <c r="J10" s="2" t="inlineStr">
        <is>
          <t>Open</t>
        </is>
      </c>
      <c r="K10" s="4" t="n">
        <v>45956</v>
      </c>
      <c r="L10" s="4" t="n">
        <v>46109</v>
      </c>
    </row>
    <row r="11" ht="36" customHeight="1">
      <c r="A11" s="5" t="inlineStr">
        <is>
          <t>R-010</t>
        </is>
      </c>
      <c r="B11" s="5" t="inlineStr">
        <is>
          <t>Procurement</t>
        </is>
      </c>
      <c r="C11" s="6" t="inlineStr">
        <is>
          <t>Supply chain hold on HVAC rooftop units due to copper coil shortage</t>
        </is>
      </c>
      <c r="D11" s="5" t="inlineStr">
        <is>
          <t>3-Medium</t>
        </is>
      </c>
      <c r="E11" s="5" t="inlineStr">
        <is>
          <t>3-Moderate</t>
        </is>
      </c>
      <c r="F11" s="5">
        <f>IF(D11="1-Very Low",1,IF(D11="2-Low",2,IF(D11="3-Medium",3,IF(D11="4-High",4,IF(D11="5-Very High",5,0)))))*IF(E11="1-Negligible",1,IF(E11="2-Minor",2,IF(E11="3-Moderate",3,IF(E11="4-Major",4,IF(E11="5-Critical",5,0)))))</f>
        <v/>
      </c>
      <c r="G11" s="5">
        <f>IF(F11&gt;=15,"Critical",IF(F11&gt;=10,"High",IF(F11&gt;=5,"Medium","Low")))</f>
        <v/>
      </c>
      <c r="H11" s="6" t="inlineStr">
        <is>
          <t>Order units 8 weeks ahead of need; accept partial shipment with temporary units</t>
        </is>
      </c>
      <c r="I11" s="5" t="inlineStr">
        <is>
          <t>Sarah Chen</t>
        </is>
      </c>
      <c r="J11" s="5" t="inlineStr">
        <is>
          <t>Open</t>
        </is>
      </c>
      <c r="K11" s="7" t="n">
        <v>45856</v>
      </c>
      <c r="L11" s="7" t="n">
        <v>45898</v>
      </c>
    </row>
    <row r="12" ht="36" customHeight="1">
      <c r="A12" s="2" t="inlineStr">
        <is>
          <t>R-011</t>
        </is>
      </c>
      <c r="B12" s="2" t="inlineStr">
        <is>
          <t>Design</t>
        </is>
      </c>
      <c r="C12" s="3" t="inlineStr">
        <is>
          <t>Settlement risk in soil below main column footings discovered during excavation</t>
        </is>
      </c>
      <c r="D12" s="2" t="inlineStr">
        <is>
          <t>2-Low</t>
        </is>
      </c>
      <c r="E12" s="2" t="inlineStr">
        <is>
          <t>5-Critical</t>
        </is>
      </c>
      <c r="F12" s="2">
        <f>IF(D12="1-Very Low",1,IF(D12="2-Low",2,IF(D12="3-Medium",3,IF(D12="4-High",4,IF(D12="5-Very High",5,0)))))*IF(E12="1-Negligible",1,IF(E12="2-Minor",2,IF(E12="3-Moderate",3,IF(E12="4-Major",4,IF(E12="5-Critical",5,0)))))</f>
        <v/>
      </c>
      <c r="G12" s="2">
        <f>IF(F12&gt;=15,"Critical",IF(F12&gt;=10,"High",IF(F12&gt;=5,"Medium","Low")))</f>
        <v/>
      </c>
      <c r="H12" s="3" t="inlineStr">
        <is>
          <t>Complete geotechnical boring analysis before footing design; engineer-reviewed fill spec</t>
        </is>
      </c>
      <c r="I12" s="2" t="inlineStr">
        <is>
          <t>Rachel Kim</t>
        </is>
      </c>
      <c r="J12" s="2" t="inlineStr">
        <is>
          <t>Mitigated</t>
        </is>
      </c>
      <c r="K12" s="4" t="n">
        <v>45921</v>
      </c>
      <c r="L12" s="4" t="n">
        <v>46012</v>
      </c>
    </row>
    <row r="13" ht="36" customHeight="1">
      <c r="A13" s="5" t="inlineStr">
        <is>
          <t>R-012</t>
        </is>
      </c>
      <c r="B13" s="5" t="inlineStr">
        <is>
          <t>Logistics</t>
        </is>
      </c>
      <c r="C13" s="6" t="inlineStr">
        <is>
          <t>Crane mobilization delay due to road weight restrictions on access route</t>
        </is>
      </c>
      <c r="D13" s="5" t="inlineStr">
        <is>
          <t>3-Medium</t>
        </is>
      </c>
      <c r="E13" s="5" t="inlineStr">
        <is>
          <t>3-Moderate</t>
        </is>
      </c>
      <c r="F13" s="5">
        <f>IF(D13="1-Very Low",1,IF(D13="2-Low",2,IF(D13="3-Medium",3,IF(D13="4-High",4,IF(D13="5-Very High",5,0)))))*IF(E13="1-Negligible",1,IF(E13="2-Minor",2,IF(E13="3-Moderate",3,IF(E13="4-Major",4,IF(E13="5-Critical",5,0)))))</f>
        <v/>
      </c>
      <c r="G13" s="5">
        <f>IF(F13&gt;=15,"Critical",IF(F13&gt;=10,"High",IF(F13&gt;=5,"Medium","Low")))</f>
        <v/>
      </c>
      <c r="H13" s="6" t="inlineStr">
        <is>
          <t>Secure oversize load permits 30 days in advance; scout secondary route</t>
        </is>
      </c>
      <c r="I13" s="5" t="inlineStr">
        <is>
          <t>Mike Torres</t>
        </is>
      </c>
      <c r="J13" s="5" t="inlineStr">
        <is>
          <t>Open</t>
        </is>
      </c>
      <c r="K13" s="7" t="n">
        <v>45911</v>
      </c>
      <c r="L13" s="7" t="n">
        <v>46074</v>
      </c>
    </row>
    <row r="14" ht="36" customHeight="1">
      <c r="A14" s="2" t="inlineStr">
        <is>
          <t>R-013</t>
        </is>
      </c>
      <c r="B14" s="2" t="inlineStr">
        <is>
          <t>Procurement</t>
        </is>
      </c>
      <c r="C14" s="3" t="inlineStr">
        <is>
          <t>Electrical subcontractor default mid-project — bonding and insurance validation missed</t>
        </is>
      </c>
      <c r="D14" s="2" t="inlineStr">
        <is>
          <t>2-Low</t>
        </is>
      </c>
      <c r="E14" s="2" t="inlineStr">
        <is>
          <t>4-Major</t>
        </is>
      </c>
      <c r="F14" s="2">
        <f>IF(D14="1-Very Low",1,IF(D14="2-Low",2,IF(D14="3-Medium",3,IF(D14="4-High",4,IF(D14="5-Very High",5,0)))))*IF(E14="1-Negligible",1,IF(E14="2-Minor",2,IF(E14="3-Moderate",3,IF(E14="4-Major",4,IF(E14="5-Critical",5,0)))))</f>
        <v/>
      </c>
      <c r="G14" s="2">
        <f>IF(F14&gt;=15,"Critical",IF(F14&gt;=10,"High",IF(F14&gt;=5,"Medium","Low")))</f>
        <v/>
      </c>
      <c r="H14" s="3" t="inlineStr">
        <is>
          <t>Pre-qualify all subcontractors; maintain list of 3 backup trades per discipline</t>
        </is>
      </c>
      <c r="I14" s="2" t="inlineStr">
        <is>
          <t>Sarah Chen</t>
        </is>
      </c>
      <c r="J14" s="2" t="inlineStr">
        <is>
          <t>Open</t>
        </is>
      </c>
      <c r="K14" s="4" t="n">
        <v>46057</v>
      </c>
      <c r="L14" s="4" t="n">
        <v>46208</v>
      </c>
    </row>
    <row r="15" ht="36" customHeight="1">
      <c r="A15" s="5" t="inlineStr">
        <is>
          <t>R-014</t>
        </is>
      </c>
      <c r="B15" s="5" t="inlineStr">
        <is>
          <t>Budget</t>
        </is>
      </c>
      <c r="C15" s="6" t="inlineStr">
        <is>
          <t>Inflation-driven material cost increase exceeding 15% of budgeted line items</t>
        </is>
      </c>
      <c r="D15" s="5" t="inlineStr">
        <is>
          <t>4-High</t>
        </is>
      </c>
      <c r="E15" s="5" t="inlineStr">
        <is>
          <t>4-Major</t>
        </is>
      </c>
      <c r="F15" s="5">
        <f>IF(D15="1-Very Low",1,IF(D15="2-Low",2,IF(D15="3-Medium",3,IF(D15="4-High",4,IF(D15="5-Very High",5,0)))))*IF(E15="1-Negligible",1,IF(E15="2-Minor",2,IF(E15="3-Moderate",3,IF(E15="4-Major",4,IF(E15="5-Critical",5,0)))))</f>
        <v/>
      </c>
      <c r="G15" s="5">
        <f>IF(F15&gt;=15,"Critical",IF(F15&gt;=10,"High",IF(F15&gt;=5,"Medium","Low")))</f>
        <v/>
      </c>
      <c r="H15" s="6" t="inlineStr">
        <is>
          <t>Include escalation clause in all contracts; lock pricing with 90-day material commitments</t>
        </is>
      </c>
      <c r="I15" s="5" t="inlineStr">
        <is>
          <t>Lisa Patel</t>
        </is>
      </c>
      <c r="J15" s="5" t="inlineStr">
        <is>
          <t>Watch</t>
        </is>
      </c>
      <c r="K15" s="7" t="n">
        <v>46014</v>
      </c>
      <c r="L15" s="7" t="n">
        <v>46147</v>
      </c>
    </row>
    <row r="16" ht="36" customHeight="1">
      <c r="A16" s="2" t="inlineStr">
        <is>
          <t>R-015</t>
        </is>
      </c>
      <c r="B16" s="2" t="inlineStr">
        <is>
          <t>Logistics</t>
        </is>
      </c>
      <c r="C16" s="3" t="inlineStr">
        <is>
          <t>Sports field turf installation delayed by port congestion on imported artificial turf rolls</t>
        </is>
      </c>
      <c r="D16" s="2" t="inlineStr">
        <is>
          <t>3-Medium</t>
        </is>
      </c>
      <c r="E16" s="2" t="inlineStr">
        <is>
          <t>4-Major</t>
        </is>
      </c>
      <c r="F16" s="2">
        <f>IF(D16="1-Very Low",1,IF(D16="2-Low",2,IF(D16="3-Medium",3,IF(D16="4-High",4,IF(D16="5-Very High",5,0)))))*IF(E16="1-Negligible",1,IF(E16="2-Minor",2,IF(E16="3-Moderate",3,IF(E16="4-Major",4,IF(E16="5-Critical",5,0)))))</f>
        <v/>
      </c>
      <c r="G16" s="2">
        <f>IF(F16&gt;=15,"Critical",IF(F16&gt;=10,"High",IF(F16&gt;=5,"Medium","Low")))</f>
        <v/>
      </c>
      <c r="H16" s="3" t="inlineStr">
        <is>
          <t>Order turf early; use domestic alternative supplier; re-sequence turf to later float</t>
        </is>
      </c>
      <c r="I16" s="2" t="inlineStr">
        <is>
          <t>Mike Torres</t>
        </is>
      </c>
      <c r="J16" s="2" t="inlineStr">
        <is>
          <t>Open</t>
        </is>
      </c>
      <c r="K16" s="4" t="n">
        <v>45864</v>
      </c>
      <c r="L16" s="4" t="n">
        <v>45933</v>
      </c>
    </row>
    <row r="17" ht="36" customHeight="1">
      <c r="A17" s="5" t="inlineStr">
        <is>
          <t>R-016</t>
        </is>
      </c>
      <c r="B17" s="5" t="inlineStr">
        <is>
          <t>Safety</t>
        </is>
      </c>
      <c r="C17" s="6" t="inlineStr">
        <is>
          <t>Coordinated scaffolding collapse endangering workers on east elevation</t>
        </is>
      </c>
      <c r="D17" s="5" t="inlineStr">
        <is>
          <t>1-Very Low</t>
        </is>
      </c>
      <c r="E17" s="5" t="inlineStr">
        <is>
          <t>5-Critical</t>
        </is>
      </c>
      <c r="F17" s="5">
        <f>IF(D17="1-Very Low",1,IF(D17="2-Low",2,IF(D17="3-Medium",3,IF(D17="4-High",4,IF(D17="5-Very High",5,0)))))*IF(E17="1-Negligible",1,IF(E17="2-Minor",2,IF(E17="3-Moderate",3,IF(E17="4-Major",4,IF(E17="5-Critical",5,0)))))</f>
        <v/>
      </c>
      <c r="G17" s="5">
        <f>IF(F17&gt;=15,"Critical",IF(F17&gt;=10,"High",IF(F17&gt;=5,"Medium","Low")))</f>
        <v/>
      </c>
      <c r="H17" s="6" t="inlineStr">
        <is>
          <t>Daily scaffold tag inspection; licensed erector required for all assembly above 20 ft</t>
        </is>
      </c>
      <c r="I17" s="5" t="inlineStr">
        <is>
          <t>David Park</t>
        </is>
      </c>
      <c r="J17" s="5" t="inlineStr">
        <is>
          <t>Closed</t>
        </is>
      </c>
      <c r="K17" s="7" t="n">
        <v>46037</v>
      </c>
      <c r="L17" s="7" t="n">
        <v>46170</v>
      </c>
    </row>
    <row r="18" ht="36" customHeight="1">
      <c r="A18" s="2" t="inlineStr">
        <is>
          <t>R-017</t>
        </is>
      </c>
      <c r="B18" s="2" t="inlineStr">
        <is>
          <t>Procurement</t>
        </is>
      </c>
      <c r="C18" s="3" t="inlineStr">
        <is>
          <t>Scoreboard/video board custom LED panels have 12-week lead time beyond schedule</t>
        </is>
      </c>
      <c r="D18" s="2" t="inlineStr">
        <is>
          <t>4-High</t>
        </is>
      </c>
      <c r="E18" s="2" t="inlineStr">
        <is>
          <t>3-Moderate</t>
        </is>
      </c>
      <c r="F18" s="2">
        <f>IF(D18="1-Very Low",1,IF(D18="2-Low",2,IF(D18="3-Medium",3,IF(D18="4-High",4,IF(D18="5-Very High",5,0)))))*IF(E18="1-Negligible",1,IF(E18="2-Minor",2,IF(E18="3-Moderate",3,IF(E18="4-Major",4,IF(E18="5-Critical",5,0)))))</f>
        <v/>
      </c>
      <c r="G18" s="2">
        <f>IF(F18&gt;=15,"Critical",IF(F18&gt;=10,"High",IF(F18&gt;=5,"Medium","Low")))</f>
        <v/>
      </c>
      <c r="H18" s="3" t="inlineStr">
        <is>
          <t>Place order at NTP; expedite shipping via air freight for last 10% of panels</t>
        </is>
      </c>
      <c r="I18" s="2" t="inlineStr">
        <is>
          <t>Sarah Chen</t>
        </is>
      </c>
      <c r="J18" s="2" t="inlineStr">
        <is>
          <t>Open</t>
        </is>
      </c>
      <c r="K18" s="4" t="n">
        <v>45821</v>
      </c>
      <c r="L18" s="4" t="n">
        <v>45896</v>
      </c>
    </row>
    <row r="19" ht="36" customHeight="1">
      <c r="A19" s="5" t="inlineStr">
        <is>
          <t>R-018</t>
        </is>
      </c>
      <c r="B19" s="5" t="inlineStr">
        <is>
          <t>Labor</t>
        </is>
      </c>
      <c r="C19" s="6" t="inlineStr">
        <is>
          <t>Lack of qualified welders to meet ASME code on pipe welding for mechanical systems</t>
        </is>
      </c>
      <c r="D19" s="5" t="inlineStr">
        <is>
          <t>3-Medium</t>
        </is>
      </c>
      <c r="E19" s="5" t="inlineStr">
        <is>
          <t>3-Moderate</t>
        </is>
      </c>
      <c r="F19" s="5">
        <f>IF(D19="1-Very Low",1,IF(D19="2-Low",2,IF(D19="3-Medium",3,IF(D19="4-High",4,IF(D19="5-Very High",5,0)))))*IF(E19="1-Negligible",1,IF(E19="2-Minor",2,IF(E19="3-Moderate",3,IF(E19="4-Major",4,IF(E19="5-Critical",5,0)))))</f>
        <v/>
      </c>
      <c r="G19" s="5">
        <f>IF(F19&gt;=15,"Critical",IF(F19&gt;=10,"High",IF(F19&gt;=5,"Medium","Low")))</f>
        <v/>
      </c>
      <c r="H19" s="6" t="inlineStr">
        <is>
          <t>Recruit from pipeline project winding down; provide AWS certification bonus</t>
        </is>
      </c>
      <c r="I19" s="5" t="inlineStr">
        <is>
          <t>James Wilson</t>
        </is>
      </c>
      <c r="J19" s="5" t="inlineStr">
        <is>
          <t>Open</t>
        </is>
      </c>
      <c r="K19" s="7" t="n">
        <v>45966</v>
      </c>
      <c r="L19" s="7" t="n">
        <v>46064</v>
      </c>
    </row>
    <row r="20" ht="36" customHeight="1">
      <c r="A20" s="2" t="inlineStr">
        <is>
          <t>R-019</t>
        </is>
      </c>
      <c r="B20" s="2" t="inlineStr">
        <is>
          <t>Design</t>
        </is>
      </c>
      <c r="C20" s="3" t="inlineStr">
        <is>
          <t>Foundation waterproofing membrane failure at underground parking level</t>
        </is>
      </c>
      <c r="D20" s="2" t="inlineStr">
        <is>
          <t>2-Low</t>
        </is>
      </c>
      <c r="E20" s="2" t="inlineStr">
        <is>
          <t>4-Major</t>
        </is>
      </c>
      <c r="F20" s="2">
        <f>IF(D20="1-Very Low",1,IF(D20="2-Low",2,IF(D20="3-Medium",3,IF(D20="4-High",4,IF(D20="5-Very High",5,0)))))*IF(E20="1-Negligible",1,IF(E20="2-Minor",2,IF(E20="3-Moderate",3,IF(E20="4-Major",4,IF(E20="5-Critical",5,0)))))</f>
        <v/>
      </c>
      <c r="G20" s="2">
        <f>IF(F20&gt;=15,"Critical",IF(F20&gt;=10,"High",IF(F20&gt;=5,"Medium","Low")))</f>
        <v/>
      </c>
      <c r="H20" s="3" t="inlineStr">
        <is>
          <t>Specify premium membrane system; require installer certification; add drain board layer</t>
        </is>
      </c>
      <c r="I20" s="2" t="inlineStr">
        <is>
          <t>Rachel Kim</t>
        </is>
      </c>
      <c r="J20" s="2" t="inlineStr">
        <is>
          <t>Open</t>
        </is>
      </c>
      <c r="K20" s="4" t="n">
        <v>45944</v>
      </c>
      <c r="L20" s="4" t="n">
        <v>46098</v>
      </c>
    </row>
    <row r="21" ht="36" customHeight="1">
      <c r="A21" s="5" t="inlineStr">
        <is>
          <t>R-020</t>
        </is>
      </c>
      <c r="B21" s="5" t="inlineStr">
        <is>
          <t>Schedule</t>
        </is>
      </c>
      <c r="C21" s="6" t="inlineStr">
        <is>
          <t>City council rezoning vote threatens stadium parking lot expansion footprint</t>
        </is>
      </c>
      <c r="D21" s="5" t="inlineStr">
        <is>
          <t>2-Low</t>
        </is>
      </c>
      <c r="E21" s="5" t="inlineStr">
        <is>
          <t>4-Major</t>
        </is>
      </c>
      <c r="F21" s="5">
        <f>IF(D21="1-Very Low",1,IF(D21="2-Low",2,IF(D21="3-Medium",3,IF(D21="4-High",4,IF(D21="5-Very High",5,0)))))*IF(E21="1-Negligible",1,IF(E21="2-Minor",2,IF(E21="3-Moderate",3,IF(E21="4-Major",4,IF(E21="5-Critical",5,0)))))</f>
        <v/>
      </c>
      <c r="G21" s="5">
        <f>IF(F21&gt;=15,"Critical",IF(F21&gt;=10,"High",IF(F21&gt;=5,"Medium","Low")))</f>
        <v/>
      </c>
      <c r="H21" s="6" t="inlineStr">
        <is>
          <t>Engage lobbyist; present traffic study early; have alternate stacked parking design ready</t>
        </is>
      </c>
      <c r="I21" s="5" t="inlineStr">
        <is>
          <t>Maria Gonzalez</t>
        </is>
      </c>
      <c r="J21" s="5" t="inlineStr">
        <is>
          <t>Watch</t>
        </is>
      </c>
      <c r="K21" s="7" t="n">
        <v>45853</v>
      </c>
      <c r="L21" s="7" t="n">
        <v>45922</v>
      </c>
    </row>
    <row r="22" ht="36" customHeight="1">
      <c r="A22" s="2" t="inlineStr">
        <is>
          <t>R-021</t>
        </is>
      </c>
      <c r="B22" s="2" t="inlineStr">
        <is>
          <t>Weather</t>
        </is>
      </c>
      <c r="C22" s="3" t="inlineStr">
        <is>
          <t>15-day heat wave stopping exterior concrete work (safety limit above 95°F)</t>
        </is>
      </c>
      <c r="D22" s="2" t="inlineStr">
        <is>
          <t>3-Medium</t>
        </is>
      </c>
      <c r="E22" s="2" t="inlineStr">
        <is>
          <t>2-Minor</t>
        </is>
      </c>
      <c r="F22" s="2">
        <f>IF(D22="1-Very Low",1,IF(D22="2-Low",2,IF(D22="3-Medium",3,IF(D22="4-High",4,IF(D22="5-Very High",5,0)))))*IF(E22="1-Negligible",1,IF(E22="2-Minor",2,IF(E22="3-Moderate",3,IF(E22="4-Major",4,IF(E22="5-Critical",5,0)))))</f>
        <v/>
      </c>
      <c r="G22" s="2">
        <f>IF(F22&gt;=15,"Critical",IF(F22&gt;=10,"High",IF(F22&gt;=5,"Medium","Low")))</f>
        <v/>
      </c>
      <c r="H22" s="3" t="inlineStr">
        <is>
          <t>Shift concrete pours to night shift; provide cooling stations; use retarding admixtures</t>
        </is>
      </c>
      <c r="I22" s="2" t="inlineStr">
        <is>
          <t>Mike Torres</t>
        </is>
      </c>
      <c r="J22" s="2" t="inlineStr">
        <is>
          <t>Open</t>
        </is>
      </c>
      <c r="K22" s="4" t="n">
        <v>45916</v>
      </c>
      <c r="L22" s="4" t="n">
        <v>46039</v>
      </c>
    </row>
    <row r="23" ht="36" customHeight="1">
      <c r="A23" s="5" t="inlineStr">
        <is>
          <t>R-022</t>
        </is>
      </c>
      <c r="B23" s="5" t="inlineStr">
        <is>
          <t>Schedule</t>
        </is>
      </c>
      <c r="C23" s="6" t="inlineStr">
        <is>
          <t>Steel erection sequencing conflict with precast panel installation on west facade</t>
        </is>
      </c>
      <c r="D23" s="5" t="inlineStr">
        <is>
          <t>3-Medium</t>
        </is>
      </c>
      <c r="E23" s="5" t="inlineStr">
        <is>
          <t>3-Moderate</t>
        </is>
      </c>
      <c r="F23" s="5">
        <f>IF(D23="1-Very Low",1,IF(D23="2-Low",2,IF(D23="3-Medium",3,IF(D23="4-High",4,IF(D23="5-Very High",5,0)))))*IF(E23="1-Negligible",1,IF(E23="2-Minor",2,IF(E23="3-Moderate",3,IF(E23="4-Major",4,IF(E23="5-Critical",5,0)))))</f>
        <v/>
      </c>
      <c r="G23" s="5">
        <f>IF(F23&gt;=15,"Critical",IF(F23&gt;=10,"High",IF(F23&gt;=5,"Medium","Low")))</f>
        <v/>
      </c>
      <c r="H23" s="6" t="inlineStr">
        <is>
          <t>4D BIM model to coordinate sequencing; weekly logistics coordination meetings</t>
        </is>
      </c>
      <c r="I23" s="5" t="inlineStr">
        <is>
          <t>Mike Torres</t>
        </is>
      </c>
      <c r="J23" s="5" t="inlineStr">
        <is>
          <t>Open</t>
        </is>
      </c>
      <c r="K23" s="7" t="n">
        <v>45933</v>
      </c>
      <c r="L23" s="7" t="n">
        <v>46102</v>
      </c>
    </row>
    <row r="24" ht="36" customHeight="1">
      <c r="A24" s="2" t="inlineStr">
        <is>
          <t>R-023</t>
        </is>
      </c>
      <c r="B24" s="2" t="inlineStr">
        <is>
          <t>Safety</t>
        </is>
      </c>
      <c r="C24" s="3" t="inlineStr">
        <is>
          <t xml:space="preserve">Un marked underground utility line puncture during site grading </t>
        </is>
      </c>
      <c r="D24" s="2" t="inlineStr">
        <is>
          <t>2-Low</t>
        </is>
      </c>
      <c r="E24" s="2" t="inlineStr">
        <is>
          <t>5-Critical</t>
        </is>
      </c>
      <c r="F24" s="2">
        <f>IF(D24="1-Very Low",1,IF(D24="2-Low",2,IF(D24="3-Medium",3,IF(D24="4-High",4,IF(D24="5-Very High",5,0)))))*IF(E24="1-Negligible",1,IF(E24="2-Minor",2,IF(E24="3-Moderate",3,IF(E24="4-Major",4,IF(E24="5-Critical",5,0)))))</f>
        <v/>
      </c>
      <c r="G24" s="2">
        <f>IF(F24&gt;=15,"Critical",IF(F24&gt;=10,"High",IF(F24&gt;=5,"Medium","Low")))</f>
        <v/>
      </c>
      <c r="H24" s="3" t="inlineStr">
        <is>
          <t>One-call utility locate required 72 hours before any excavation; hand-dig probe zones</t>
        </is>
      </c>
      <c r="I24" s="2" t="inlineStr">
        <is>
          <t>David Park</t>
        </is>
      </c>
      <c r="J24" s="2" t="inlineStr">
        <is>
          <t>Mitigated</t>
        </is>
      </c>
      <c r="K24" s="4" t="n">
        <v>45944</v>
      </c>
      <c r="L24" s="4" t="n">
        <v>46101</v>
      </c>
    </row>
    <row r="25" ht="36" customHeight="1">
      <c r="A25" s="5" t="inlineStr">
        <is>
          <t>R-024</t>
        </is>
      </c>
      <c r="B25" s="5" t="inlineStr">
        <is>
          <t>Procurement</t>
        </is>
      </c>
      <c r="C25" s="6" t="inlineStr">
        <is>
          <t>Payment dispute with concrete supplier delaying all pours for 10 days</t>
        </is>
      </c>
      <c r="D25" s="5" t="inlineStr">
        <is>
          <t>2-Low</t>
        </is>
      </c>
      <c r="E25" s="5" t="inlineStr">
        <is>
          <t>4-Major</t>
        </is>
      </c>
      <c r="F25" s="5">
        <f>IF(D25="1-Very Low",1,IF(D25="2-Low",2,IF(D25="3-Medium",3,IF(D25="4-High",4,IF(D25="5-Very High",5,0)))))*IF(E25="1-Negligible",1,IF(E25="2-Minor",2,IF(E25="3-Moderate",3,IF(E25="4-Major",4,IF(E25="5-Critical",5,0)))))</f>
        <v/>
      </c>
      <c r="G25" s="5">
        <f>IF(F25&gt;=15,"Critical",IF(F25&gt;=10,"High",IF(F25&gt;=5,"Medium","Low")))</f>
        <v/>
      </c>
      <c r="H25" s="6" t="inlineStr">
        <is>
          <t>Process invoices within 5 business days; maintain 30-day reserve to cover disputes</t>
        </is>
      </c>
      <c r="I25" s="5" t="inlineStr">
        <is>
          <t>Lisa Patel</t>
        </is>
      </c>
      <c r="J25" s="5" t="inlineStr">
        <is>
          <t>Mitigated</t>
        </is>
      </c>
      <c r="K25" s="7" t="n">
        <v>45833</v>
      </c>
      <c r="L25" s="7" t="n">
        <v>45960</v>
      </c>
    </row>
    <row r="26" ht="36" customHeight="1">
      <c r="A26" s="2" t="inlineStr">
        <is>
          <t>R-025</t>
        </is>
      </c>
      <c r="B26" s="2" t="inlineStr">
        <is>
          <t>Design</t>
        </is>
      </c>
      <c r="C26" s="3" t="inlineStr">
        <is>
          <t>Fire protection sprinkler system tie-in requires shutdown of existing main</t>
        </is>
      </c>
      <c r="D26" s="2" t="inlineStr">
        <is>
          <t>2-Low</t>
        </is>
      </c>
      <c r="E26" s="2" t="inlineStr">
        <is>
          <t>3-Moderate</t>
        </is>
      </c>
      <c r="F26" s="2">
        <f>IF(D26="1-Very Low",1,IF(D26="2-Low",2,IF(D26="3-Medium",3,IF(D26="4-High",4,IF(D26="5-Very High",5,0)))))*IF(E26="1-Negligible",1,IF(E26="2-Minor",2,IF(E26="3-Moderate",3,IF(E26="4-Major",4,IF(E26="5-Critical",5,0)))))</f>
        <v/>
      </c>
      <c r="G26" s="2">
        <f>IF(F26&gt;=15,"Critical",IF(F26&gt;=10,"High",IF(F26&gt;=5,"Medium","Low")))</f>
        <v/>
      </c>
      <c r="H26" s="3" t="inlineStr">
        <is>
          <t>Schedule tie-in during off-hours; stage backup fire watch crew; coordinate with fire marshal</t>
        </is>
      </c>
      <c r="I26" s="2" t="inlineStr">
        <is>
          <t>Rachel Kim</t>
        </is>
      </c>
      <c r="J26" s="2" t="inlineStr">
        <is>
          <t>Open</t>
        </is>
      </c>
      <c r="K26" s="4" t="n">
        <v>45834</v>
      </c>
      <c r="L26" s="4" t="n">
        <v>45874</v>
      </c>
    </row>
    <row r="27" ht="36" customHeight="1">
      <c r="A27" s="5" t="inlineStr">
        <is>
          <t>R-026</t>
        </is>
      </c>
      <c r="B27" s="5" t="inlineStr">
        <is>
          <t>Weather</t>
        </is>
      </c>
      <c r="C27" s="6" t="inlineStr">
        <is>
          <t>Access road erosion after heavy rain blocking material deliveries to site</t>
        </is>
      </c>
      <c r="D27" s="5" t="inlineStr">
        <is>
          <t>2-Low</t>
        </is>
      </c>
      <c r="E27" s="5" t="inlineStr">
        <is>
          <t>3-Moderate</t>
        </is>
      </c>
      <c r="F27" s="5">
        <f>IF(D27="1-Very Low",1,IF(D27="2-Low",2,IF(D27="3-Medium",3,IF(D27="4-High",4,IF(D27="5-Very High",5,0)))))*IF(E27="1-Negligible",1,IF(E27="2-Minor",2,IF(E27="3-Moderate",3,IF(E27="4-Major",4,IF(E27="5-Critical",5,0)))))</f>
        <v/>
      </c>
      <c r="G27" s="5">
        <f>IF(F27&gt;=15,"Critical",IF(F27&gt;=10,"High",IF(F27&gt;=5,"Medium","Low")))</f>
        <v/>
      </c>
      <c r="H27" s="6" t="inlineStr">
        <is>
          <t>Install gravel reinforcement on access road; grade drainage swales; maintain emergency detour route</t>
        </is>
      </c>
      <c r="I27" s="5" t="inlineStr">
        <is>
          <t>Mike Torres</t>
        </is>
      </c>
      <c r="J27" s="5" t="inlineStr">
        <is>
          <t>Open</t>
        </is>
      </c>
      <c r="K27" s="7" t="n">
        <v>46082</v>
      </c>
      <c r="L27" s="7" t="n">
        <v>46154</v>
      </c>
    </row>
    <row r="28" ht="36" customHeight="1">
      <c r="A28" s="2" t="inlineStr">
        <is>
          <t>R-027</t>
        </is>
      </c>
      <c r="B28" s="2" t="inlineStr">
        <is>
          <t>Procurement</t>
        </is>
      </c>
      <c r="C28" s="3" t="inlineStr">
        <is>
          <t>Architectural precast panels not matching approved mock-up color and texture</t>
        </is>
      </c>
      <c r="D28" s="2" t="inlineStr">
        <is>
          <t>3-Medium</t>
        </is>
      </c>
      <c r="E28" s="2" t="inlineStr">
        <is>
          <t>3-Moderate</t>
        </is>
      </c>
      <c r="F28" s="2">
        <f>IF(D28="1-Very Low",1,IF(D28="2-Low",2,IF(D28="3-Medium",3,IF(D28="4-High",4,IF(D28="5-Very High",5,0)))))*IF(E28="1-Negligible",1,IF(E28="2-Minor",2,IF(E28="3-Moderate",3,IF(E28="4-Major",4,IF(E28="5-Critical",5,0)))))</f>
        <v/>
      </c>
      <c r="G28" s="2">
        <f>IF(F28&gt;=15,"Critical",IF(F28&gt;=10,"High",IF(F28&gt;=5,"Medium","Low")))</f>
        <v/>
      </c>
      <c r="H28" s="3" t="inlineStr">
        <is>
          <t>Require full-scale mock-up approval before production; reserve rejection right</t>
        </is>
      </c>
      <c r="I28" s="2" t="inlineStr">
        <is>
          <t>Sarah Chen</t>
        </is>
      </c>
      <c r="J28" s="2" t="inlineStr">
        <is>
          <t>Open</t>
        </is>
      </c>
      <c r="K28" s="4" t="n">
        <v>45863</v>
      </c>
      <c r="L28" s="4" t="n">
        <v>45898</v>
      </c>
    </row>
    <row r="29" ht="36" customHeight="1">
      <c r="A29" s="5" t="inlineStr">
        <is>
          <t>R-028</t>
        </is>
      </c>
      <c r="B29" s="5" t="inlineStr">
        <is>
          <t>Design</t>
        </is>
      </c>
      <c r="C29" s="6" t="inlineStr">
        <is>
          <t>Retaining wall design incomplete — geotechnical report lacked soil cohesion data</t>
        </is>
      </c>
      <c r="D29" s="5" t="inlineStr">
        <is>
          <t>2-Low</t>
        </is>
      </c>
      <c r="E29" s="5" t="inlineStr">
        <is>
          <t>4-Major</t>
        </is>
      </c>
      <c r="F29" s="5">
        <f>IF(D29="1-Very Low",1,IF(D29="2-Low",2,IF(D29="3-Medium",3,IF(D29="4-High",4,IF(D29="5-Very High",5,0)))))*IF(E29="1-Negligible",1,IF(E29="2-Minor",2,IF(E29="3-Moderate",3,IF(E29="4-Major",4,IF(E29="5-Critical",5,0)))))</f>
        <v/>
      </c>
      <c r="G29" s="5">
        <f>IF(F29&gt;=15,"Critical",IF(F29&gt;=10,"High",IF(F29&gt;=5,"Medium","Low")))</f>
        <v/>
      </c>
      <c r="H29" s="6" t="inlineStr">
        <is>
          <t>Enforce 100% design review milestone; require geotechnical sign-off before wall construction</t>
        </is>
      </c>
      <c r="I29" s="5" t="inlineStr">
        <is>
          <t>Rachel Kim</t>
        </is>
      </c>
      <c r="J29" s="5" t="inlineStr">
        <is>
          <t>Mitigated</t>
        </is>
      </c>
      <c r="K29" s="7" t="n">
        <v>46013</v>
      </c>
      <c r="L29" s="7" t="n">
        <v>46188</v>
      </c>
    </row>
    <row r="30" ht="36" customHeight="1">
      <c r="A30" s="2" t="inlineStr">
        <is>
          <t>R-029</t>
        </is>
      </c>
      <c r="B30" s="2" t="inlineStr">
        <is>
          <t>Safety</t>
        </is>
      </c>
      <c r="C30" s="3" t="inlineStr">
        <is>
          <t>Site security breach — theft of copper wiring from MEP laydown area</t>
        </is>
      </c>
      <c r="D30" s="2" t="inlineStr">
        <is>
          <t>3-Medium</t>
        </is>
      </c>
      <c r="E30" s="2" t="inlineStr">
        <is>
          <t>2-Minor</t>
        </is>
      </c>
      <c r="F30" s="2">
        <f>IF(D30="1-Very Low",1,IF(D30="2-Low",2,IF(D30="3-Medium",3,IF(D30="4-High",4,IF(D30="5-Very High",5,0)))))*IF(E30="1-Negligible",1,IF(E30="2-Minor",2,IF(E30="3-Moderate",3,IF(E30="4-Major",4,IF(E30="5-Critical",5,0)))))</f>
        <v/>
      </c>
      <c r="G30" s="2">
        <f>IF(F30&gt;=15,"Critical",IF(F30&gt;=10,"High",IF(F30&gt;=5,"Medium","Low")))</f>
        <v/>
      </c>
      <c r="H30" s="3" t="inlineStr">
        <is>
          <t>24/7 security guard; fenced laydown yard with motion lights; material inventory daily</t>
        </is>
      </c>
      <c r="I30" s="2" t="inlineStr">
        <is>
          <t>David Park</t>
        </is>
      </c>
      <c r="J30" s="2" t="inlineStr">
        <is>
          <t>Open</t>
        </is>
      </c>
      <c r="K30" s="4" t="n">
        <v>45904</v>
      </c>
      <c r="L30" s="4" t="n">
        <v>45964</v>
      </c>
    </row>
    <row r="31" ht="36" customHeight="1">
      <c r="A31" s="5" t="inlineStr">
        <is>
          <t>R-030</t>
        </is>
      </c>
      <c r="B31" s="5" t="inlineStr">
        <is>
          <t>Budget</t>
        </is>
      </c>
      <c r="C31" s="6" t="inlineStr">
        <is>
          <t>Premium-time labor costs for weekend pours to recover 6-week schedule delay</t>
        </is>
      </c>
      <c r="D31" s="5" t="inlineStr">
        <is>
          <t>4-High</t>
        </is>
      </c>
      <c r="E31" s="5" t="inlineStr">
        <is>
          <t>3-Moderate</t>
        </is>
      </c>
      <c r="F31" s="5">
        <f>IF(D31="1-Very Low",1,IF(D31="2-Low",2,IF(D31="3-Medium",3,IF(D31="4-High",4,IF(D31="5-Very High",5,0)))))*IF(E31="1-Negligible",1,IF(E31="2-Minor",2,IF(E31="3-Moderate",3,IF(E31="4-Major",4,IF(E31="5-Critical",5,0)))))</f>
        <v/>
      </c>
      <c r="G31" s="5">
        <f>IF(F31&gt;=15,"Critical",IF(F31&gt;=10,"High",IF(F31&gt;=5,"Medium","Low")))</f>
        <v/>
      </c>
      <c r="H31" s="6" t="inlineStr">
        <is>
          <t>Track recovery schedule weekly; cap overtime at 10% of direct labor; pursue EOT from owner</t>
        </is>
      </c>
      <c r="I31" s="5" t="inlineStr">
        <is>
          <t>Lisa Patel</t>
        </is>
      </c>
      <c r="J31" s="5" t="inlineStr">
        <is>
          <t>Open</t>
        </is>
      </c>
      <c r="K31" s="7" t="n">
        <v>45819</v>
      </c>
      <c r="L31" s="7" t="n">
        <v>45961</v>
      </c>
    </row>
  </sheetData>
  <autoFilter ref="A1:L31"/>
  <conditionalFormatting sqref="F2:F31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</conditionalFormatting>
  <dataValidations count="4">
    <dataValidation sqref="B2:B31" showDropDown="0" showInputMessage="0" showErrorMessage="0" allowBlank="1" errorTitle="Invalid Category" error="Please select a valid category." promptTitle="Category" prompt="Select risk category" type="list">
      <formula1>"Schedule,Budget,Safety,Design,Procurement,Labor,Weather,Logistics"</formula1>
    </dataValidation>
    <dataValidation sqref="D2:D31" showDropDown="0" showInputMessage="0" showErrorMessage="0" allowBlank="1" errorTitle="Invalid Probability" error="Please select a valid probability level." promptTitle="Probability" prompt="Select probability level" type="list">
      <formula1>"1-Very Low,2-Low,3-Medium,4-High,5-Very High"</formula1>
    </dataValidation>
    <dataValidation sqref="E2:E31" showDropDown="0" showInputMessage="0" showErrorMessage="0" allowBlank="1" errorTitle="Invalid Impact" error="Please select a valid impact level." promptTitle="Impact" prompt="Select impact level" type="list">
      <formula1>"1-Negligible,2-Minor,3-Moderate,4-Major,5-Critical"</formula1>
    </dataValidation>
    <dataValidation sqref="J2:J31" showDropDown="0" showInputMessage="0" showErrorMessage="0" allowBlank="1" errorTitle="Invalid Status" error="Please select a valid status." promptTitle="Status" prompt="Select risk status" type="list">
      <formula1>"Open,Mitigated,Closed,Watch"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8" t="inlineStr">
        <is>
          <t>Risk Level Summary</t>
        </is>
      </c>
    </row>
    <row r="2">
      <c r="A2" s="9" t="inlineStr">
        <is>
          <t>Risk Level</t>
        </is>
      </c>
      <c r="B2" s="9" t="inlineStr">
        <is>
          <t>Count</t>
        </is>
      </c>
      <c r="C2" s="9" t="inlineStr">
        <is>
          <t>Percentage</t>
        </is>
      </c>
    </row>
    <row r="3">
      <c r="A3" s="2" t="inlineStr">
        <is>
          <t>Critical</t>
        </is>
      </c>
      <c r="B3" s="2">
        <f>COUNTIF('Risk Register'!G:G,A3)</f>
        <v/>
      </c>
      <c r="C3" s="10">
        <f>IF(SUM(B3:B6)&gt;0,B3/SUM(B3:B6),0)</f>
        <v/>
      </c>
    </row>
    <row r="4">
      <c r="A4" s="2" t="inlineStr">
        <is>
          <t>High</t>
        </is>
      </c>
      <c r="B4" s="2">
        <f>COUNTIF('Risk Register'!G:G,A4)</f>
        <v/>
      </c>
      <c r="C4" s="10">
        <f>IF(SUM(B3:B6)&gt;0,B4/SUM(B3:B6),0)</f>
        <v/>
      </c>
    </row>
    <row r="5">
      <c r="A5" s="2" t="inlineStr">
        <is>
          <t>Medium</t>
        </is>
      </c>
      <c r="B5" s="2">
        <f>COUNTIF('Risk Register'!G:G,A5)</f>
        <v/>
      </c>
      <c r="C5" s="10">
        <f>IF(SUM(B3:B6)&gt;0,B5/SUM(B3:B6),0)</f>
        <v/>
      </c>
    </row>
    <row r="6">
      <c r="A6" s="2" t="inlineStr">
        <is>
          <t>Low</t>
        </is>
      </c>
      <c r="B6" s="2">
        <f>COUNTIF('Risk Register'!G:G,A6)</f>
        <v/>
      </c>
      <c r="C6" s="10">
        <f>IF(SUM(B3:B6)&gt;0,B6/SUM(B3:B6),0)</f>
        <v/>
      </c>
    </row>
    <row r="7">
      <c r="A7" s="11" t="inlineStr">
        <is>
          <t>Total</t>
        </is>
      </c>
      <c r="B7" s="11">
        <f>SUM(B3:B6)</f>
        <v/>
      </c>
      <c r="C7" s="12">
        <f>SUM(C3:C6)</f>
        <v/>
      </c>
    </row>
    <row r="9">
      <c r="A9" s="8" t="inlineStr">
        <is>
          <t>Risk Category Summary</t>
        </is>
      </c>
    </row>
    <row r="10">
      <c r="A10" s="9" t="inlineStr">
        <is>
          <t>Category</t>
        </is>
      </c>
      <c r="B10" s="9" t="inlineStr">
        <is>
          <t>Count</t>
        </is>
      </c>
      <c r="C10" s="9" t="inlineStr">
        <is>
          <t>Percentage</t>
        </is>
      </c>
    </row>
    <row r="11">
      <c r="A11" s="2" t="inlineStr">
        <is>
          <t>Schedule</t>
        </is>
      </c>
      <c r="B11" s="2">
        <f>COUNTIF('Risk Register'!B:B,A11)</f>
        <v/>
      </c>
      <c r="C11" s="10">
        <f>IF(SUM(B11:B18)&gt;0,B11/SUM(B11:B18),0)</f>
        <v/>
      </c>
    </row>
    <row r="12">
      <c r="A12" s="2" t="inlineStr">
        <is>
          <t>Budget</t>
        </is>
      </c>
      <c r="B12" s="2">
        <f>COUNTIF('Risk Register'!B:B,A12)</f>
        <v/>
      </c>
      <c r="C12" s="10">
        <f>IF(SUM(B11:B18)&gt;0,B12/SUM(B11:B18),0)</f>
        <v/>
      </c>
    </row>
    <row r="13">
      <c r="A13" s="2" t="inlineStr">
        <is>
          <t>Safety</t>
        </is>
      </c>
      <c r="B13" s="2">
        <f>COUNTIF('Risk Register'!B:B,A13)</f>
        <v/>
      </c>
      <c r="C13" s="10">
        <f>IF(SUM(B11:B18)&gt;0,B13/SUM(B11:B18),0)</f>
        <v/>
      </c>
    </row>
    <row r="14">
      <c r="A14" s="2" t="inlineStr">
        <is>
          <t>Design</t>
        </is>
      </c>
      <c r="B14" s="2">
        <f>COUNTIF('Risk Register'!B:B,A14)</f>
        <v/>
      </c>
      <c r="C14" s="10">
        <f>IF(SUM(B11:B18)&gt;0,B14/SUM(B11:B18),0)</f>
        <v/>
      </c>
    </row>
    <row r="15">
      <c r="A15" s="2" t="inlineStr">
        <is>
          <t>Procurement</t>
        </is>
      </c>
      <c r="B15" s="2">
        <f>COUNTIF('Risk Register'!B:B,A15)</f>
        <v/>
      </c>
      <c r="C15" s="10">
        <f>IF(SUM(B11:B18)&gt;0,B15/SUM(B11:B18),0)</f>
        <v/>
      </c>
    </row>
    <row r="16">
      <c r="A16" s="2" t="inlineStr">
        <is>
          <t>Labor</t>
        </is>
      </c>
      <c r="B16" s="2">
        <f>COUNTIF('Risk Register'!B:B,A16)</f>
        <v/>
      </c>
      <c r="C16" s="10">
        <f>IF(SUM(B11:B18)&gt;0,B16/SUM(B11:B18),0)</f>
        <v/>
      </c>
    </row>
    <row r="17">
      <c r="A17" s="2" t="inlineStr">
        <is>
          <t>Weather</t>
        </is>
      </c>
      <c r="B17" s="2">
        <f>COUNTIF('Risk Register'!B:B,A17)</f>
        <v/>
      </c>
      <c r="C17" s="10">
        <f>IF(SUM(B11:B18)&gt;0,B17/SUM(B11:B18),0)</f>
        <v/>
      </c>
    </row>
    <row r="18">
      <c r="A18" s="2" t="inlineStr">
        <is>
          <t>Logistics</t>
        </is>
      </c>
      <c r="B18" s="2">
        <f>COUNTIF('Risk Register'!B:B,A18)</f>
        <v/>
      </c>
      <c r="C18" s="10">
        <f>IF(SUM(B11:B18)&gt;0,B18/SUM(B11:B18),0)</f>
        <v/>
      </c>
    </row>
    <row r="19">
      <c r="A19" s="11" t="inlineStr">
        <is>
          <t>Total</t>
        </is>
      </c>
      <c r="B19" s="11">
        <f>SUM(B11:B18)</f>
        <v/>
      </c>
      <c r="C19" s="12">
        <f>SUM(C11:C18)</f>
        <v/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2026-06-07T19:52:05Z</dcterms:created>
  <dcterms:modified xmlns:dcterms="http://purl.org/dc/terms/" xmlns:xsi="http://www.w3.org/2001/XMLSchema-instance" xsi:type="dcterms:W3CDTF">2026-06-07T19:52:05Z</dcterms:modified>
</cp:coreProperties>
</file>