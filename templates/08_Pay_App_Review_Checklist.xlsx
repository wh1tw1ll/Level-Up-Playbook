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App Checklist" sheetId="1" state="visible" r:id="rId1"/>
  </sheets>
  <definedNames>
    <definedName name="_xlnm._FilterDatabase" localSheetId="0" hidden="1">'Pay App Checklist'!$A$1:$G$23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008080"/>
      <sz val="11"/>
    </font>
    <font>
      <name val="Calibri"/>
      <b val="1"/>
      <sz val="10.5"/>
    </font>
  </fonts>
  <fills count="7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color rgb="00006100"/>
        <sz val="10.5"/>
      </font>
      <fill>
        <patternFill patternType="solid">
          <fgColor rgb="00C6EFCE"/>
          <bgColor rgb="00C6EFCE"/>
        </patternFill>
      </fill>
    </dxf>
    <dxf>
      <font>
        <name val="Calibri"/>
        <color rgb="009C0006"/>
        <sz val="10.5"/>
      </font>
      <fill>
        <patternFill patternType="solid">
          <fgColor rgb="00FFC7CE"/>
          <bgColor rgb="00FFC7CE"/>
        </patternFill>
      </fill>
    </dxf>
    <dxf>
      <font>
        <name val="Calibri"/>
        <color rgb="009C6500"/>
        <sz val="10.5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6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Item #</t>
        </is>
      </c>
      <c r="B1" s="1" t="inlineStr">
        <is>
          <t>Review Item</t>
        </is>
      </c>
      <c r="C1" s="1" t="inlineStr">
        <is>
          <t>Status</t>
        </is>
      </c>
      <c r="D1" s="1" t="inlineStr">
        <is>
          <t>Notes/Findings</t>
        </is>
      </c>
      <c r="E1" s="1" t="inlineStr">
        <is>
          <t>Reference</t>
        </is>
      </c>
      <c r="F1" s="1" t="inlineStr">
        <is>
          <t>Verified By</t>
        </is>
      </c>
      <c r="G1" s="1" t="inlineStr">
        <is>
          <t>Date Verified</t>
        </is>
      </c>
    </row>
    <row r="2">
      <c r="A2" s="2" t="n">
        <v>1</v>
      </c>
      <c r="B2" s="3" t="inlineStr">
        <is>
          <t>Application completeness</t>
        </is>
      </c>
      <c r="C2" s="3" t="n"/>
      <c r="D2" s="3" t="n"/>
      <c r="E2" s="3" t="n"/>
      <c r="F2" s="3" t="n"/>
      <c r="G2" s="3" t="n"/>
    </row>
    <row r="3">
      <c r="A3" s="2" t="n">
        <v>2</v>
      </c>
      <c r="B3" s="3" t="inlineStr">
        <is>
          <t>Notarized sworn statement</t>
        </is>
      </c>
      <c r="C3" s="3" t="n"/>
      <c r="D3" s="3" t="n"/>
      <c r="E3" s="3" t="n"/>
      <c r="F3" s="3" t="n"/>
      <c r="G3" s="3" t="n"/>
    </row>
    <row r="4">
      <c r="A4" s="2" t="n">
        <v>3</v>
      </c>
      <c r="B4" s="3" t="inlineStr">
        <is>
          <t>Schedule of Values matches contract</t>
        </is>
      </c>
      <c r="C4" s="3" t="n"/>
      <c r="D4" s="3" t="n"/>
      <c r="E4" s="3" t="n"/>
      <c r="F4" s="3" t="n"/>
      <c r="G4" s="3" t="n"/>
    </row>
    <row r="5">
      <c r="A5" s="2" t="n">
        <v>4</v>
      </c>
      <c r="B5" s="3" t="inlineStr">
        <is>
          <t>% complete matches field observation</t>
        </is>
      </c>
      <c r="C5" s="3" t="n"/>
      <c r="D5" s="3" t="n"/>
      <c r="E5" s="3" t="n"/>
      <c r="F5" s="3" t="n"/>
      <c r="G5" s="3" t="n"/>
    </row>
    <row r="6">
      <c r="A6" s="2" t="n">
        <v>5</v>
      </c>
      <c r="B6" s="3" t="inlineStr">
        <is>
          <t>Stored materials verified</t>
        </is>
      </c>
      <c r="C6" s="3" t="n"/>
      <c r="D6" s="3" t="n"/>
      <c r="E6" s="3" t="n"/>
      <c r="F6" s="3" t="n"/>
      <c r="G6" s="3" t="n"/>
    </row>
    <row r="7">
      <c r="A7" s="2" t="n">
        <v>6</v>
      </c>
      <c r="B7" s="3" t="inlineStr">
        <is>
          <t>Lien waivers (current period)</t>
        </is>
      </c>
      <c r="C7" s="3" t="n"/>
      <c r="D7" s="3" t="n"/>
      <c r="E7" s="3" t="n"/>
      <c r="F7" s="3" t="n"/>
      <c r="G7" s="3" t="n"/>
    </row>
    <row r="8">
      <c r="A8" s="2" t="n">
        <v>7</v>
      </c>
      <c r="B8" s="3" t="inlineStr">
        <is>
          <t>Lien waivers (previous period)</t>
        </is>
      </c>
      <c r="C8" s="3" t="n"/>
      <c r="D8" s="3" t="n"/>
      <c r="E8" s="3" t="n"/>
      <c r="F8" s="3" t="n"/>
      <c r="G8" s="3" t="n"/>
    </row>
    <row r="9">
      <c r="A9" s="2" t="n">
        <v>8</v>
      </c>
      <c r="B9" s="3" t="inlineStr">
        <is>
          <t>Conditional waivers</t>
        </is>
      </c>
      <c r="C9" s="3" t="n"/>
      <c r="D9" s="3" t="n"/>
      <c r="E9" s="3" t="n"/>
      <c r="F9" s="3" t="n"/>
      <c r="G9" s="3" t="n"/>
    </row>
    <row r="10">
      <c r="A10" s="2" t="n">
        <v>9</v>
      </c>
      <c r="B10" s="3" t="inlineStr">
        <is>
          <t>Unconditional waivers</t>
        </is>
      </c>
      <c r="C10" s="3" t="n"/>
      <c r="D10" s="3" t="n"/>
      <c r="E10" s="3" t="n"/>
      <c r="F10" s="3" t="n"/>
      <c r="G10" s="3" t="n"/>
    </row>
    <row r="11">
      <c r="A11" s="2" t="n">
        <v>10</v>
      </c>
      <c r="B11" s="3" t="inlineStr">
        <is>
          <t>Certified payroll (if applicable)</t>
        </is>
      </c>
      <c r="C11" s="3" t="n"/>
      <c r="D11" s="3" t="n"/>
      <c r="E11" s="3" t="n"/>
      <c r="F11" s="3" t="n"/>
      <c r="G11" s="3" t="n"/>
    </row>
    <row r="12">
      <c r="A12" s="2" t="n">
        <v>11</v>
      </c>
      <c r="B12" s="3" t="inlineStr">
        <is>
          <t>Subcontractor pay applications attached</t>
        </is>
      </c>
      <c r="C12" s="3" t="n"/>
      <c r="D12" s="3" t="n"/>
      <c r="E12" s="3" t="n"/>
      <c r="F12" s="3" t="n"/>
      <c r="G12" s="3" t="n"/>
    </row>
    <row r="13">
      <c r="A13" s="2" t="n">
        <v>12</v>
      </c>
      <c r="B13" s="3" t="inlineStr">
        <is>
          <t>Retention % matches contract</t>
        </is>
      </c>
      <c r="C13" s="3" t="n"/>
      <c r="D13" s="3" t="n"/>
      <c r="E13" s="3" t="n"/>
      <c r="F13" s="3" t="n"/>
      <c r="G13" s="3" t="n"/>
    </row>
    <row r="14">
      <c r="A14" s="2" t="n">
        <v>13</v>
      </c>
      <c r="B14" s="3" t="inlineStr">
        <is>
          <t>Previous retention released</t>
        </is>
      </c>
      <c r="C14" s="3" t="n"/>
      <c r="D14" s="3" t="n"/>
      <c r="E14" s="3" t="n"/>
      <c r="F14" s="3" t="n"/>
      <c r="G14" s="3" t="n"/>
    </row>
    <row r="15">
      <c r="A15" s="2" t="n">
        <v>14</v>
      </c>
      <c r="B15" s="3" t="inlineStr">
        <is>
          <t>Change orders included</t>
        </is>
      </c>
      <c r="C15" s="3" t="n"/>
      <c r="D15" s="3" t="n"/>
      <c r="E15" s="3" t="n"/>
      <c r="F15" s="3" t="n"/>
      <c r="G15" s="3" t="n"/>
    </row>
    <row r="16">
      <c r="A16" s="2" t="n">
        <v>15</v>
      </c>
      <c r="B16" s="3" t="inlineStr">
        <is>
          <t>Back-up documentation complete</t>
        </is>
      </c>
      <c r="C16" s="3" t="n"/>
      <c r="D16" s="3" t="n"/>
      <c r="E16" s="3" t="n"/>
      <c r="F16" s="3" t="n"/>
      <c r="G16" s="3" t="n"/>
    </row>
    <row r="17">
      <c r="A17" s="2" t="n">
        <v>16</v>
      </c>
      <c r="B17" s="3" t="inlineStr">
        <is>
          <t>Amount matches contract terms</t>
        </is>
      </c>
      <c r="C17" s="3" t="n"/>
      <c r="D17" s="3" t="n"/>
      <c r="E17" s="3" t="n"/>
      <c r="F17" s="3" t="n"/>
      <c r="G17" s="3" t="n"/>
    </row>
    <row r="18">
      <c r="A18" s="2" t="n">
        <v>17</v>
      </c>
      <c r="B18" s="3" t="inlineStr">
        <is>
          <t>Sales tax calculated correctly</t>
        </is>
      </c>
      <c r="C18" s="3" t="n"/>
      <c r="D18" s="3" t="n"/>
      <c r="E18" s="3" t="n"/>
      <c r="F18" s="3" t="n"/>
      <c r="G18" s="3" t="n"/>
    </row>
    <row r="19">
      <c r="A19" s="2" t="n">
        <v>18</v>
      </c>
      <c r="B19" s="3" t="inlineStr">
        <is>
          <t>Overhead/Profit within limits</t>
        </is>
      </c>
      <c r="C19" s="3" t="n"/>
      <c r="D19" s="3" t="n"/>
      <c r="E19" s="3" t="n"/>
      <c r="F19" s="3" t="n"/>
      <c r="G19" s="3" t="n"/>
    </row>
    <row r="20">
      <c r="A20" s="2" t="n">
        <v>19</v>
      </c>
      <c r="B20" s="3" t="inlineStr">
        <is>
          <t>Unit prices match contract</t>
        </is>
      </c>
      <c r="C20" s="3" t="n"/>
      <c r="D20" s="3" t="n"/>
      <c r="E20" s="3" t="n"/>
      <c r="F20" s="3" t="n"/>
      <c r="G20" s="3" t="n"/>
    </row>
    <row r="21">
      <c r="A21" s="2" t="n">
        <v>20</v>
      </c>
      <c r="B21" s="3" t="inlineStr">
        <is>
          <t>Signed by authorized representative</t>
        </is>
      </c>
      <c r="C21" s="3" t="n"/>
      <c r="D21" s="3" t="n"/>
      <c r="E21" s="3" t="n"/>
      <c r="F21" s="3" t="n"/>
      <c r="G21" s="3" t="n"/>
    </row>
    <row r="22">
      <c r="A22" s="2" t="n">
        <v>21</v>
      </c>
      <c r="B22" s="3" t="inlineStr">
        <is>
          <t>Schedule status updated accordingly</t>
        </is>
      </c>
      <c r="C22" s="3" t="n"/>
      <c r="D22" s="3" t="n"/>
      <c r="E22" s="3" t="n"/>
      <c r="F22" s="3" t="n"/>
      <c r="G22" s="3" t="n"/>
    </row>
    <row r="23">
      <c r="A23" s="2" t="n">
        <v>22</v>
      </c>
      <c r="B23" s="3" t="inlineStr">
        <is>
          <t>Budget check against total project funds</t>
        </is>
      </c>
      <c r="C23" s="3" t="n"/>
      <c r="D23" s="3" t="n"/>
      <c r="E23" s="3" t="n"/>
      <c r="F23" s="3" t="n"/>
      <c r="G23" s="3" t="n"/>
    </row>
    <row r="25">
      <c r="A25" s="4" t="inlineStr">
        <is>
          <t>STATUS SUMMARY</t>
        </is>
      </c>
      <c r="B25" s="5" t="n"/>
    </row>
    <row r="26">
      <c r="A26" s="6" t="inlineStr">
        <is>
          <t>Pass Count:</t>
        </is>
      </c>
      <c r="B26" s="7">
        <f>COUNTIF(C2:C23,"Pass")</f>
        <v/>
      </c>
    </row>
    <row r="27">
      <c r="A27" s="8" t="inlineStr">
        <is>
          <t>Fail Count:</t>
        </is>
      </c>
      <c r="B27" s="9">
        <f>COUNTIF(C2:C23,"Fail")</f>
        <v/>
      </c>
    </row>
    <row r="28">
      <c r="A28" s="10" t="inlineStr">
        <is>
          <t>N/A Count:</t>
        </is>
      </c>
      <c r="B28" s="11">
        <f>COUNTIF(C2:C23,"N/A")</f>
        <v/>
      </c>
    </row>
    <row r="29">
      <c r="A29" s="12" t="inlineStr">
        <is>
          <t>Pending Count:</t>
        </is>
      </c>
      <c r="B29" s="13">
        <f>COUNTIF(C2:C23,"Pending")</f>
        <v/>
      </c>
    </row>
    <row r="30">
      <c r="A30" s="10" t="inlineStr">
        <is>
          <t>Total Items Checked:</t>
        </is>
      </c>
      <c r="B30" s="11">
        <f>COUNTA(C2:C23)</f>
        <v/>
      </c>
    </row>
  </sheetData>
  <autoFilter ref="A1:G23"/>
  <mergeCells count="1">
    <mergeCell ref="A25:B25"/>
  </mergeCells>
  <conditionalFormatting sqref="C2:C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dataValidations count="1">
    <dataValidation sqref="C2:C23" showDropDown="0" showInputMessage="0" showErrorMessage="0" allowBlank="1" errorTitle="Invalid Status" error="Please select a valid status: Pass, Fail, N/A, or Pending" promptTitle="Status" prompt="Select review status" type="list">
      <formula1>"Pass,Fail,N/A,Pending"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2026-06-07T19:51:44Z</dcterms:created>
  <dcterms:modified xmlns:dcterms="http://purl.org/dc/terms/" xmlns:xsi="http://www.w3.org/2001/XMLSchema-instance" xsi:type="dcterms:W3CDTF">2026-06-07T19:51:44Z</dcterms:modified>
</cp:coreProperties>
</file>