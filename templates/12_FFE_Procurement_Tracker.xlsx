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 Tracker" sheetId="1" state="visible" r:id="rId1"/>
  </sheets>
  <definedNames>
    <definedName name="_xlnm._FilterDatabase" localSheetId="0" hidden="1">'Procurement Tracker'!$A$1:$R$101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8080"/>
      <sz val="12"/>
    </font>
    <font>
      <name val="Calibri"/>
      <b val="1"/>
      <color rgb="001F4E79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D9F2F2"/>
        <bgColor rgb="00D9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  <xf numFmtId="1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3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F6666"/>
          <bgColor rgb="00FF66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10" customWidth="1" min="4" max="4"/>
    <col width="10" customWidth="1" min="5" max="5"/>
    <col width="14" customWidth="1" min="6" max="6"/>
    <col width="14" customWidth="1" min="7" max="7"/>
    <col width="16" customWidth="1" min="8" max="8"/>
    <col width="22" customWidth="1" min="9" max="9"/>
    <col width="14" customWidth="1" min="10" max="10"/>
    <col width="14" customWidth="1" min="11" max="11"/>
    <col width="18" customWidth="1" min="12" max="12"/>
    <col width="16" customWidth="1" min="13" max="13"/>
    <col width="16" customWidth="1" min="14" max="14"/>
    <col width="14" customWidth="1" min="15" max="15"/>
    <col width="14" customWidth="1" min="16" max="16"/>
    <col width="12" customWidth="1" min="17" max="17"/>
    <col width="25" customWidth="1" min="18" max="18"/>
  </cols>
  <sheetData>
    <row r="1" ht="30" customHeight="1">
      <c r="A1" s="1" t="inlineStr">
        <is>
          <t>Item #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Unit Price ($)</t>
        </is>
      </c>
      <c r="G1" s="1" t="inlineStr">
        <is>
          <t>Total Price</t>
        </is>
      </c>
      <c r="H1" s="1" t="inlineStr">
        <is>
          <t>Status</t>
        </is>
      </c>
      <c r="I1" s="1" t="inlineStr">
        <is>
          <t>Vendor</t>
        </is>
      </c>
      <c r="J1" s="1" t="inlineStr">
        <is>
          <t>PO #</t>
        </is>
      </c>
      <c r="K1" s="1" t="inlineStr">
        <is>
          <t>Order Date</t>
        </is>
      </c>
      <c r="L1" s="1" t="inlineStr">
        <is>
          <t>Expected Delivery</t>
        </is>
      </c>
      <c r="M1" s="1" t="inlineStr">
        <is>
          <t>Actual Delivery</t>
        </is>
      </c>
      <c r="N1" s="1" t="inlineStr">
        <is>
          <t>Lead Time (days)</t>
        </is>
      </c>
      <c r="O1" s="1" t="inlineStr">
        <is>
          <t>Delay (days)</t>
        </is>
      </c>
      <c r="P1" s="1" t="inlineStr">
        <is>
          <t>Install By</t>
        </is>
      </c>
      <c r="Q1" s="1" t="inlineStr">
        <is>
          <t>F/I</t>
        </is>
      </c>
      <c r="R1" s="1" t="inlineStr">
        <is>
          <t>Notes</t>
        </is>
      </c>
    </row>
    <row r="2">
      <c r="A2" s="2" t="n">
        <v>1</v>
      </c>
      <c r="B2" s="2" t="inlineStr">
        <is>
          <t>Stadium seating - lower bowl</t>
        </is>
      </c>
      <c r="C2" s="2" t="inlineStr">
        <is>
          <t>AV/Technology</t>
        </is>
      </c>
      <c r="D2" s="2" t="n">
        <v>392</v>
      </c>
      <c r="E2" s="2" t="inlineStr">
        <is>
          <t>UNIT</t>
        </is>
      </c>
      <c r="F2" s="3" t="n">
        <v>11726.09</v>
      </c>
      <c r="G2" s="3">
        <f>D2*F2</f>
        <v/>
      </c>
      <c r="H2" s="2" t="inlineStr">
        <is>
          <t>Shipped</t>
        </is>
      </c>
      <c r="I2" s="2" t="inlineStr">
        <is>
          <t>Daktronics</t>
        </is>
      </c>
      <c r="J2" s="2" t="inlineStr">
        <is>
          <t>PO-2026-0001</t>
        </is>
      </c>
      <c r="K2" s="4" t="n">
        <v>45800</v>
      </c>
      <c r="L2" s="4" t="n">
        <v>45926</v>
      </c>
      <c r="M2" s="2" t="inlineStr"/>
      <c r="N2" s="5">
        <f>L2-K2</f>
        <v/>
      </c>
      <c r="O2" s="5">
        <f>IF(M2&gt;"",IF(M2&gt;L2,M2-L2,0),"")</f>
        <v/>
      </c>
      <c r="P2" s="4" t="n">
        <v>45967</v>
      </c>
      <c r="Q2" s="2" t="inlineStr">
        <is>
          <t>Owner</t>
        </is>
      </c>
      <c r="R2" s="2" t="inlineStr"/>
    </row>
    <row r="3">
      <c r="A3" s="2" t="n">
        <v>2</v>
      </c>
      <c r="B3" s="2" t="inlineStr">
        <is>
          <t>LED scoreboard main display</t>
        </is>
      </c>
      <c r="C3" s="2" t="inlineStr">
        <is>
          <t>Furniture</t>
        </is>
      </c>
      <c r="D3" s="2" t="n">
        <v>247</v>
      </c>
      <c r="E3" s="2" t="inlineStr">
        <is>
          <t>LF</t>
        </is>
      </c>
      <c r="F3" s="3" t="n">
        <v>17474.96</v>
      </c>
      <c r="G3" s="3">
        <f>D3*F3</f>
        <v/>
      </c>
      <c r="H3" s="2" t="inlineStr">
        <is>
          <t>Complete</t>
        </is>
      </c>
      <c r="I3" s="2" t="inlineStr">
        <is>
          <t>American Seating</t>
        </is>
      </c>
      <c r="J3" s="2" t="inlineStr">
        <is>
          <t>PO-2026-0002</t>
        </is>
      </c>
      <c r="K3" s="4" t="n">
        <v>46075</v>
      </c>
      <c r="L3" s="4" t="n">
        <v>46107</v>
      </c>
      <c r="M3" s="4" t="n">
        <v>46109</v>
      </c>
      <c r="N3" s="5">
        <f>L3-K3</f>
        <v/>
      </c>
      <c r="O3" s="5">
        <f>IF(M3&gt;"",IF(M3&gt;L3,M3-L3,0),"")</f>
        <v/>
      </c>
      <c r="P3" s="4" t="n">
        <v>46141</v>
      </c>
      <c r="Q3" s="2" t="inlineStr">
        <is>
          <t>Vendor</t>
        </is>
      </c>
      <c r="R3" s="2" t="inlineStr"/>
    </row>
    <row r="4">
      <c r="A4" s="2" t="n">
        <v>3</v>
      </c>
      <c r="B4" s="2" t="inlineStr">
        <is>
          <t>Concession counter equipment</t>
        </is>
      </c>
      <c r="C4" s="2" t="inlineStr">
        <is>
          <t>OS&amp;E</t>
        </is>
      </c>
      <c r="D4" s="2" t="n">
        <v>210</v>
      </c>
      <c r="E4" s="2" t="inlineStr">
        <is>
          <t>GL</t>
        </is>
      </c>
      <c r="F4" s="3" t="n">
        <v>7619.02</v>
      </c>
      <c r="G4" s="3">
        <f>D4*F4</f>
        <v/>
      </c>
      <c r="H4" s="2" t="inlineStr">
        <is>
          <t>Ordered</t>
        </is>
      </c>
      <c r="I4" s="2" t="inlineStr">
        <is>
          <t>Herman Miller</t>
        </is>
      </c>
      <c r="J4" s="2" t="inlineStr">
        <is>
          <t>PO-2026-0003</t>
        </is>
      </c>
      <c r="K4" s="4" t="n">
        <v>45923</v>
      </c>
      <c r="L4" s="4" t="n">
        <v>45943</v>
      </c>
      <c r="M4" s="2" t="inlineStr"/>
      <c r="N4" s="5">
        <f>L4-K4</f>
        <v/>
      </c>
      <c r="O4" s="5">
        <f>IF(M4&gt;"",IF(M4&gt;L4,M4-L4,0),"")</f>
        <v/>
      </c>
      <c r="P4" s="4" t="n">
        <v>45985</v>
      </c>
      <c r="Q4" s="2" t="inlineStr">
        <is>
          <t>GC</t>
        </is>
      </c>
      <c r="R4" s="2" t="inlineStr"/>
    </row>
    <row r="5">
      <c r="A5" s="2" t="n">
        <v>4</v>
      </c>
      <c r="B5" s="2" t="inlineStr">
        <is>
          <t>Field turf &amp; drainage system</t>
        </is>
      </c>
      <c r="C5" s="2" t="inlineStr">
        <is>
          <t>OS&amp;E</t>
        </is>
      </c>
      <c r="D5" s="2" t="n">
        <v>108</v>
      </c>
      <c r="E5" s="2" t="inlineStr">
        <is>
          <t>GL</t>
        </is>
      </c>
      <c r="F5" s="3" t="n">
        <v>19589.21</v>
      </c>
      <c r="G5" s="3">
        <f>D5*F5</f>
        <v/>
      </c>
      <c r="H5" s="2" t="inlineStr">
        <is>
          <t>Received</t>
        </is>
      </c>
      <c r="I5" s="2" t="inlineStr">
        <is>
          <t>Sherwin-Williams</t>
        </is>
      </c>
      <c r="J5" s="2" t="inlineStr">
        <is>
          <t>PO-2026-0004</t>
        </is>
      </c>
      <c r="K5" s="4" t="n">
        <v>45736</v>
      </c>
      <c r="L5" s="4" t="n">
        <v>45754</v>
      </c>
      <c r="M5" s="4" t="n">
        <v>45750</v>
      </c>
      <c r="N5" s="5">
        <f>L5-K5</f>
        <v/>
      </c>
      <c r="O5" s="5">
        <f>IF(M5&gt;"",IF(M5&gt;L5,M5-L5,0),"")</f>
        <v/>
      </c>
      <c r="P5" s="4" t="n">
        <v>45799</v>
      </c>
      <c r="Q5" s="2" t="inlineStr">
        <is>
          <t>Vendor</t>
        </is>
      </c>
      <c r="R5" s="2" t="inlineStr"/>
    </row>
    <row r="6">
      <c r="A6" s="2" t="n">
        <v>5</v>
      </c>
      <c r="B6" s="2" t="inlineStr">
        <is>
          <t>Sound system - main array</t>
        </is>
      </c>
      <c r="C6" s="2" t="inlineStr">
        <is>
          <t>Art/Decor</t>
        </is>
      </c>
      <c r="D6" s="2" t="n">
        <v>126</v>
      </c>
      <c r="E6" s="2" t="inlineStr">
        <is>
          <t>LF</t>
        </is>
      </c>
      <c r="F6" s="3" t="n">
        <v>1593.69</v>
      </c>
      <c r="G6" s="3">
        <f>D6*F6</f>
        <v/>
      </c>
      <c r="H6" s="2" t="inlineStr">
        <is>
          <t>Installed</t>
        </is>
      </c>
      <c r="I6" s="2" t="inlineStr">
        <is>
          <t>True Refrigeration</t>
        </is>
      </c>
      <c r="J6" s="2" t="inlineStr">
        <is>
          <t>PO-2026-0005</t>
        </is>
      </c>
      <c r="K6" s="4" t="n">
        <v>45660</v>
      </c>
      <c r="L6" s="4" t="n">
        <v>45795</v>
      </c>
      <c r="M6" s="4" t="n">
        <v>45812</v>
      </c>
      <c r="N6" s="5">
        <f>L6-K6</f>
        <v/>
      </c>
      <c r="O6" s="5">
        <f>IF(M6&gt;"",IF(M6&gt;L6,M6-L6,0),"")</f>
        <v/>
      </c>
      <c r="P6" s="4" t="n">
        <v>45809</v>
      </c>
      <c r="Q6" s="2" t="inlineStr">
        <is>
          <t>GC</t>
        </is>
      </c>
      <c r="R6" s="2" t="inlineStr"/>
    </row>
    <row r="7">
      <c r="A7" s="2" t="n">
        <v>6</v>
      </c>
      <c r="B7" s="2" t="inlineStr">
        <is>
          <t>VIP suite furnishings</t>
        </is>
      </c>
      <c r="C7" s="2" t="inlineStr">
        <is>
          <t>Kitchen/F&amp;B</t>
        </is>
      </c>
      <c r="D7" s="2" t="n">
        <v>150</v>
      </c>
      <c r="E7" s="2" t="inlineStr">
        <is>
          <t>GL</t>
        </is>
      </c>
      <c r="F7" s="3" t="n">
        <v>22773.15</v>
      </c>
      <c r="G7" s="3">
        <f>D7*F7</f>
        <v/>
      </c>
      <c r="H7" s="2" t="inlineStr">
        <is>
          <t>Installed</t>
        </is>
      </c>
      <c r="I7" s="2" t="inlineStr">
        <is>
          <t>Steelcase Inc.</t>
        </is>
      </c>
      <c r="J7" s="2" t="inlineStr">
        <is>
          <t>PO-2026-0006</t>
        </is>
      </c>
      <c r="K7" s="4" t="n">
        <v>45800</v>
      </c>
      <c r="L7" s="4" t="n">
        <v>45965</v>
      </c>
      <c r="M7" s="4" t="n">
        <v>45983</v>
      </c>
      <c r="N7" s="5">
        <f>L7-K7</f>
        <v/>
      </c>
      <c r="O7" s="5">
        <f>IF(M7&gt;"",IF(M7&gt;L7,M7-L7,0),"")</f>
        <v/>
      </c>
      <c r="P7" s="4" t="n">
        <v>45976</v>
      </c>
      <c r="Q7" s="2" t="inlineStr">
        <is>
          <t>Owner</t>
        </is>
      </c>
      <c r="R7" s="2" t="inlineStr"/>
    </row>
    <row r="8">
      <c r="A8" s="2" t="n">
        <v>7</v>
      </c>
      <c r="B8" s="2" t="inlineStr">
        <is>
          <t>Kitchen prep line equipment</t>
        </is>
      </c>
      <c r="C8" s="2" t="inlineStr">
        <is>
          <t>Kitchen/F&amp;B</t>
        </is>
      </c>
      <c r="D8" s="2" t="n">
        <v>1</v>
      </c>
      <c r="E8" s="2" t="inlineStr">
        <is>
          <t>SET</t>
        </is>
      </c>
      <c r="F8" s="3" t="n">
        <v>23163.74</v>
      </c>
      <c r="G8" s="3">
        <f>D8*F8</f>
        <v/>
      </c>
      <c r="H8" s="2" t="inlineStr">
        <is>
          <t>Received</t>
        </is>
      </c>
      <c r="I8" s="2" t="inlineStr">
        <is>
          <t>American Seating</t>
        </is>
      </c>
      <c r="J8" s="2" t="inlineStr">
        <is>
          <t>PO-2026-0007</t>
        </is>
      </c>
      <c r="K8" s="4" t="n">
        <v>45754</v>
      </c>
      <c r="L8" s="4" t="n">
        <v>45854</v>
      </c>
      <c r="M8" s="4" t="n">
        <v>45871</v>
      </c>
      <c r="N8" s="5">
        <f>L8-K8</f>
        <v/>
      </c>
      <c r="O8" s="5">
        <f>IF(M8&gt;"",IF(M8&gt;L8,M8-L8,0),"")</f>
        <v/>
      </c>
      <c r="P8" s="4" t="n">
        <v>45888</v>
      </c>
      <c r="Q8" s="2" t="inlineStr">
        <is>
          <t>Vendor</t>
        </is>
      </c>
      <c r="R8" s="2" t="inlineStr">
        <is>
          <t>Notes for item 7</t>
        </is>
      </c>
    </row>
    <row r="9">
      <c r="A9" s="2" t="n">
        <v>8</v>
      </c>
      <c r="B9" s="2" t="inlineStr">
        <is>
          <t>Wayfinding signage package</t>
        </is>
      </c>
      <c r="C9" s="2" t="inlineStr">
        <is>
          <t>AV/Technology</t>
        </is>
      </c>
      <c r="D9" s="2" t="n">
        <v>344</v>
      </c>
      <c r="E9" s="2" t="inlineStr">
        <is>
          <t>PR</t>
        </is>
      </c>
      <c r="F9" s="3" t="n">
        <v>173.51</v>
      </c>
      <c r="G9" s="3">
        <f>D9*F9</f>
        <v/>
      </c>
      <c r="H9" s="2" t="inlineStr">
        <is>
          <t>Received</t>
        </is>
      </c>
      <c r="I9" s="2" t="inlineStr">
        <is>
          <t>Herman Miller</t>
        </is>
      </c>
      <c r="J9" s="2" t="inlineStr">
        <is>
          <t>PO-2026-0008</t>
        </is>
      </c>
      <c r="K9" s="4" t="n">
        <v>45682</v>
      </c>
      <c r="L9" s="4" t="n">
        <v>45768</v>
      </c>
      <c r="M9" s="4" t="n">
        <v>45779</v>
      </c>
      <c r="N9" s="5">
        <f>L9-K9</f>
        <v/>
      </c>
      <c r="O9" s="5">
        <f>IF(M9&gt;"",IF(M9&gt;L9,M9-L9,0),"")</f>
        <v/>
      </c>
      <c r="P9" s="4" t="n">
        <v>45775</v>
      </c>
      <c r="Q9" s="2" t="inlineStr">
        <is>
          <t>GC</t>
        </is>
      </c>
      <c r="R9" s="2" t="inlineStr">
        <is>
          <t>Notes for item 8</t>
        </is>
      </c>
    </row>
    <row r="10">
      <c r="A10" s="2" t="n">
        <v>9</v>
      </c>
      <c r="B10" s="2" t="inlineStr">
        <is>
          <t>Locker room benches &amp; lockers</t>
        </is>
      </c>
      <c r="C10" s="2" t="inlineStr">
        <is>
          <t>AV/Technology</t>
        </is>
      </c>
      <c r="D10" s="2" t="n">
        <v>258</v>
      </c>
      <c r="E10" s="2" t="inlineStr">
        <is>
          <t>UNIT</t>
        </is>
      </c>
      <c r="F10" s="3" t="n">
        <v>12611.67</v>
      </c>
      <c r="G10" s="3">
        <f>D10*F10</f>
        <v/>
      </c>
      <c r="H10" s="2" t="inlineStr">
        <is>
          <t>Ordered</t>
        </is>
      </c>
      <c r="I10" s="2" t="inlineStr">
        <is>
          <t>GE Current</t>
        </is>
      </c>
      <c r="J10" s="2" t="inlineStr">
        <is>
          <t>PO-2026-0009</t>
        </is>
      </c>
      <c r="K10" s="4" t="n">
        <v>45867</v>
      </c>
      <c r="L10" s="4" t="n">
        <v>46036</v>
      </c>
      <c r="M10" s="2" t="inlineStr"/>
      <c r="N10" s="5">
        <f>L10-K10</f>
        <v/>
      </c>
      <c r="O10" s="5">
        <f>IF(M10&gt;"",IF(M10&gt;L10,M10-L10,0),"")</f>
        <v/>
      </c>
      <c r="P10" s="4" t="n">
        <v>46052</v>
      </c>
      <c r="Q10" s="2" t="inlineStr">
        <is>
          <t>Vendor</t>
        </is>
      </c>
      <c r="R10" s="2" t="inlineStr"/>
    </row>
    <row r="11">
      <c r="A11" s="2" t="n">
        <v>10</v>
      </c>
      <c r="B11" s="2" t="inlineStr">
        <is>
          <t>Press box desks &amp; chairs</t>
        </is>
      </c>
      <c r="C11" s="2" t="inlineStr">
        <is>
          <t>Signage</t>
        </is>
      </c>
      <c r="D11" s="2" t="n">
        <v>312</v>
      </c>
      <c r="E11" s="2" t="inlineStr">
        <is>
          <t>EA</t>
        </is>
      </c>
      <c r="F11" s="3" t="n">
        <v>15375.45</v>
      </c>
      <c r="G11" s="3">
        <f>D11*F11</f>
        <v/>
      </c>
      <c r="H11" s="2" t="inlineStr">
        <is>
          <t>Ordered</t>
        </is>
      </c>
      <c r="I11" s="2" t="inlineStr">
        <is>
          <t>Sysco Equipment</t>
        </is>
      </c>
      <c r="J11" s="2" t="inlineStr">
        <is>
          <t>PO-2026-0010</t>
        </is>
      </c>
      <c r="K11" s="4" t="n">
        <v>45825</v>
      </c>
      <c r="L11" s="4" t="n">
        <v>45956</v>
      </c>
      <c r="M11" s="2" t="inlineStr"/>
      <c r="N11" s="5">
        <f>L11-K11</f>
        <v/>
      </c>
      <c r="O11" s="5">
        <f>IF(M11&gt;"",IF(M11&gt;L11,M11-L11,0),"")</f>
        <v/>
      </c>
      <c r="P11" s="4" t="n">
        <v>45975</v>
      </c>
      <c r="Q11" s="2" t="inlineStr">
        <is>
          <t>GC</t>
        </is>
      </c>
      <c r="R11" s="2" t="inlineStr"/>
    </row>
    <row r="12">
      <c r="A12" s="2" t="n">
        <v>11</v>
      </c>
      <c r="B12" s="2" t="inlineStr">
        <is>
          <t>Jumbotron secondary display</t>
        </is>
      </c>
      <c r="C12" s="2" t="inlineStr">
        <is>
          <t>Equipment</t>
        </is>
      </c>
      <c r="D12" s="2" t="n">
        <v>484</v>
      </c>
      <c r="E12" s="2" t="inlineStr">
        <is>
          <t>RL</t>
        </is>
      </c>
      <c r="F12" s="3" t="n">
        <v>12917.7</v>
      </c>
      <c r="G12" s="3">
        <f>D12*F12</f>
        <v/>
      </c>
      <c r="H12" s="2" t="inlineStr">
        <is>
          <t>Complete</t>
        </is>
      </c>
      <c r="I12" s="2" t="inlineStr">
        <is>
          <t>Herman Miller</t>
        </is>
      </c>
      <c r="J12" s="2" t="inlineStr">
        <is>
          <t>PO-2026-0011</t>
        </is>
      </c>
      <c r="K12" s="4" t="n">
        <v>45727</v>
      </c>
      <c r="L12" s="4" t="n">
        <v>45779</v>
      </c>
      <c r="M12" s="4" t="n">
        <v>45798</v>
      </c>
      <c r="N12" s="5">
        <f>L12-K12</f>
        <v/>
      </c>
      <c r="O12" s="5">
        <f>IF(M12&gt;"",IF(M12&gt;L12,M12-L12,0),"")</f>
        <v/>
      </c>
      <c r="P12" s="4" t="n">
        <v>45787</v>
      </c>
      <c r="Q12" s="2" t="inlineStr">
        <is>
          <t>GC</t>
        </is>
      </c>
      <c r="R12" s="2" t="inlineStr">
        <is>
          <t>Notes for item 11</t>
        </is>
      </c>
    </row>
    <row r="13">
      <c r="A13" s="2" t="n">
        <v>12</v>
      </c>
      <c r="B13" s="2" t="inlineStr">
        <is>
          <t>Point-of-sale terminals</t>
        </is>
      </c>
      <c r="C13" s="2" t="inlineStr">
        <is>
          <t>Signage</t>
        </is>
      </c>
      <c r="D13" s="2" t="n">
        <v>93</v>
      </c>
      <c r="E13" s="2" t="inlineStr">
        <is>
          <t>UNIT</t>
        </is>
      </c>
      <c r="F13" s="3" t="n">
        <v>1094.28</v>
      </c>
      <c r="G13" s="3">
        <f>D13*F13</f>
        <v/>
      </c>
      <c r="H13" s="2" t="inlineStr">
        <is>
          <t>Shipped</t>
        </is>
      </c>
      <c r="I13" s="2" t="inlineStr">
        <is>
          <t>American Seating</t>
        </is>
      </c>
      <c r="J13" s="2" t="inlineStr">
        <is>
          <t>PO-2026-0012</t>
        </is>
      </c>
      <c r="K13" s="4" t="n">
        <v>45729</v>
      </c>
      <c r="L13" s="4" t="n">
        <v>45813</v>
      </c>
      <c r="M13" s="2" t="inlineStr"/>
      <c r="N13" s="5">
        <f>L13-K13</f>
        <v/>
      </c>
      <c r="O13" s="5">
        <f>IF(M13&gt;"",IF(M13&gt;L13,M13-L13,0),"")</f>
        <v/>
      </c>
      <c r="P13" s="4" t="n">
        <v>45846</v>
      </c>
      <c r="Q13" s="2" t="inlineStr">
        <is>
          <t>Owner</t>
        </is>
      </c>
      <c r="R13" s="2" t="inlineStr"/>
    </row>
    <row r="14">
      <c r="A14" s="2" t="n">
        <v>13</v>
      </c>
      <c r="B14" s="2" t="inlineStr">
        <is>
          <t>Stadium lighting system</t>
        </is>
      </c>
      <c r="C14" s="2" t="inlineStr">
        <is>
          <t>Equipment</t>
        </is>
      </c>
      <c r="D14" s="2" t="n">
        <v>356</v>
      </c>
      <c r="E14" s="2" t="inlineStr">
        <is>
          <t>LF</t>
        </is>
      </c>
      <c r="F14" s="3" t="n">
        <v>10061.52</v>
      </c>
      <c r="G14" s="3">
        <f>D14*F14</f>
        <v/>
      </c>
      <c r="H14" s="2" t="inlineStr">
        <is>
          <t>Shipped</t>
        </is>
      </c>
      <c r="I14" s="2" t="inlineStr">
        <is>
          <t>Hobart Corp</t>
        </is>
      </c>
      <c r="J14" s="2" t="inlineStr">
        <is>
          <t>PO-2026-0013</t>
        </is>
      </c>
      <c r="K14" s="4" t="n">
        <v>45890</v>
      </c>
      <c r="L14" s="4" t="n">
        <v>46051</v>
      </c>
      <c r="M14" s="2" t="inlineStr"/>
      <c r="N14" s="5">
        <f>L14-K14</f>
        <v/>
      </c>
      <c r="O14" s="5">
        <f>IF(M14&gt;"",IF(M14&gt;L14,M14-L14,0),"")</f>
        <v/>
      </c>
      <c r="P14" s="4" t="n">
        <v>46075</v>
      </c>
      <c r="Q14" s="2" t="inlineStr">
        <is>
          <t>Vendor</t>
        </is>
      </c>
      <c r="R14" s="2" t="inlineStr"/>
    </row>
    <row r="15">
      <c r="A15" s="2" t="n">
        <v>14</v>
      </c>
      <c r="B15" s="2" t="inlineStr">
        <is>
          <t>Restroom fixtures &amp; partitions</t>
        </is>
      </c>
      <c r="C15" s="2" t="inlineStr">
        <is>
          <t>Uniforms</t>
        </is>
      </c>
      <c r="D15" s="2" t="n">
        <v>425</v>
      </c>
      <c r="E15" s="2" t="inlineStr">
        <is>
          <t>BOX</t>
        </is>
      </c>
      <c r="F15" s="3" t="n">
        <v>6474.16</v>
      </c>
      <c r="G15" s="3">
        <f>D15*F15</f>
        <v/>
      </c>
      <c r="H15" s="2" t="inlineStr">
        <is>
          <t>Not Started</t>
        </is>
      </c>
      <c r="I15" s="2" t="inlineStr">
        <is>
          <t>Yamaha Commercial</t>
        </is>
      </c>
      <c r="J15" s="2" t="inlineStr">
        <is>
          <t>PO-2026-0014</t>
        </is>
      </c>
      <c r="K15" s="4" t="n">
        <v>45686</v>
      </c>
      <c r="L15" s="4" t="n">
        <v>45854</v>
      </c>
      <c r="M15" s="2" t="inlineStr"/>
      <c r="N15" s="5">
        <f>L15-K15</f>
        <v/>
      </c>
      <c r="O15" s="5">
        <f>IF(M15&gt;"",IF(M15&gt;L15,M15-L15,0),"")</f>
        <v/>
      </c>
      <c r="P15" s="4" t="n">
        <v>45897</v>
      </c>
      <c r="Q15" s="2" t="inlineStr">
        <is>
          <t>Vendor</t>
        </is>
      </c>
      <c r="R15" s="2" t="inlineStr"/>
    </row>
    <row r="16">
      <c r="A16" s="2" t="n">
        <v>15</v>
      </c>
      <c r="B16" s="2" t="inlineStr">
        <is>
          <t>Hospitality lounge furniture</t>
        </is>
      </c>
      <c r="C16" s="2" t="inlineStr">
        <is>
          <t>Kitchen/F&amp;B</t>
        </is>
      </c>
      <c r="D16" s="2" t="n">
        <v>379</v>
      </c>
      <c r="E16" s="2" t="inlineStr">
        <is>
          <t>EA</t>
        </is>
      </c>
      <c r="F16" s="3" t="n">
        <v>3724.06</v>
      </c>
      <c r="G16" s="3">
        <f>D16*F16</f>
        <v/>
      </c>
      <c r="H16" s="2" t="inlineStr">
        <is>
          <t>Ordered</t>
        </is>
      </c>
      <c r="I16" s="2" t="inlineStr">
        <is>
          <t>Daktronics</t>
        </is>
      </c>
      <c r="J16" s="2" t="inlineStr">
        <is>
          <t>PO-2026-0015</t>
        </is>
      </c>
      <c r="K16" s="4" t="n">
        <v>45948</v>
      </c>
      <c r="L16" s="4" t="n">
        <v>46018</v>
      </c>
      <c r="M16" s="2" t="inlineStr"/>
      <c r="N16" s="5">
        <f>L16-K16</f>
        <v/>
      </c>
      <c r="O16" s="5">
        <f>IF(M16&gt;"",IF(M16&gt;L16,M16-L16,0),"")</f>
        <v/>
      </c>
      <c r="P16" s="4" t="n">
        <v>46060</v>
      </c>
      <c r="Q16" s="2" t="inlineStr">
        <is>
          <t>Vendor</t>
        </is>
      </c>
      <c r="R16" s="2" t="inlineStr"/>
    </row>
    <row r="17">
      <c r="A17" s="2" t="n">
        <v>16</v>
      </c>
      <c r="B17" s="2" t="inlineStr">
        <is>
          <t>Broadcast camera positions</t>
        </is>
      </c>
      <c r="C17" s="2" t="inlineStr">
        <is>
          <t>Equipment</t>
        </is>
      </c>
      <c r="D17" s="2" t="n">
        <v>271</v>
      </c>
      <c r="E17" s="2" t="inlineStr">
        <is>
          <t>EA</t>
        </is>
      </c>
      <c r="F17" s="3" t="n">
        <v>13747.95</v>
      </c>
      <c r="G17" s="3">
        <f>D17*F17</f>
        <v/>
      </c>
      <c r="H17" s="2" t="inlineStr">
        <is>
          <t>Ordered</t>
        </is>
      </c>
      <c r="I17" s="2" t="inlineStr">
        <is>
          <t>Yamaha Commercial</t>
        </is>
      </c>
      <c r="J17" s="2" t="inlineStr">
        <is>
          <t>PO-2026-0016</t>
        </is>
      </c>
      <c r="K17" s="4" t="n">
        <v>45690</v>
      </c>
      <c r="L17" s="4" t="n">
        <v>45733</v>
      </c>
      <c r="M17" s="2" t="inlineStr"/>
      <c r="N17" s="5">
        <f>L17-K17</f>
        <v/>
      </c>
      <c r="O17" s="5">
        <f>IF(M17&gt;"",IF(M17&gt;L17,M17-L17,0),"")</f>
        <v/>
      </c>
      <c r="P17" s="4" t="n">
        <v>45766</v>
      </c>
      <c r="Q17" s="2" t="inlineStr">
        <is>
          <t>GC</t>
        </is>
      </c>
      <c r="R17" s="2" t="inlineStr">
        <is>
          <t>Notes for item 16</t>
        </is>
      </c>
    </row>
    <row r="18">
      <c r="A18" s="2" t="n">
        <v>17</v>
      </c>
      <c r="B18" s="2" t="inlineStr">
        <is>
          <t>Refrigeration units</t>
        </is>
      </c>
      <c r="C18" s="2" t="inlineStr">
        <is>
          <t>Furniture</t>
        </is>
      </c>
      <c r="D18" s="2" t="n">
        <v>68</v>
      </c>
      <c r="E18" s="2" t="inlineStr">
        <is>
          <t>LF</t>
        </is>
      </c>
      <c r="F18" s="3" t="n">
        <v>8753.49</v>
      </c>
      <c r="G18" s="3">
        <f>D18*F18</f>
        <v/>
      </c>
      <c r="H18" s="2" t="inlineStr">
        <is>
          <t>Received</t>
        </is>
      </c>
      <c r="I18" s="2" t="inlineStr">
        <is>
          <t>Samsung Display</t>
        </is>
      </c>
      <c r="J18" s="2" t="inlineStr">
        <is>
          <t>PO-2026-0017</t>
        </is>
      </c>
      <c r="K18" s="4" t="n">
        <v>45936</v>
      </c>
      <c r="L18" s="4" t="n">
        <v>46087</v>
      </c>
      <c r="M18" s="4" t="n">
        <v>46081</v>
      </c>
      <c r="N18" s="5">
        <f>L18-K18</f>
        <v/>
      </c>
      <c r="O18" s="5">
        <f>IF(M18&gt;"",IF(M18&gt;L18,M18-L18,0),"")</f>
        <v/>
      </c>
      <c r="P18" s="4" t="n">
        <v>46130</v>
      </c>
      <c r="Q18" s="2" t="inlineStr">
        <is>
          <t>Owner</t>
        </is>
      </c>
      <c r="R18" s="2" t="inlineStr">
        <is>
          <t>Notes for item 17</t>
        </is>
      </c>
    </row>
    <row r="19">
      <c r="A19" s="2" t="n">
        <v>18</v>
      </c>
      <c r="B19" s="2" t="inlineStr">
        <is>
          <t>Menu board digital signage</t>
        </is>
      </c>
      <c r="C19" s="2" t="inlineStr">
        <is>
          <t>Kitchen/F&amp;B</t>
        </is>
      </c>
      <c r="D19" s="2" t="n">
        <v>105</v>
      </c>
      <c r="E19" s="2" t="inlineStr">
        <is>
          <t>EA</t>
        </is>
      </c>
      <c r="F19" s="3" t="n">
        <v>8313.01</v>
      </c>
      <c r="G19" s="3">
        <f>D19*F19</f>
        <v/>
      </c>
      <c r="H19" s="2" t="inlineStr">
        <is>
          <t>Complete</t>
        </is>
      </c>
      <c r="I19" s="2" t="inlineStr">
        <is>
          <t>ASM Global</t>
        </is>
      </c>
      <c r="J19" s="2" t="inlineStr">
        <is>
          <t>PO-2026-0018</t>
        </is>
      </c>
      <c r="K19" s="4" t="n">
        <v>45796</v>
      </c>
      <c r="L19" s="4" t="n">
        <v>45815</v>
      </c>
      <c r="M19" s="4" t="n">
        <v>45816</v>
      </c>
      <c r="N19" s="5">
        <f>L19-K19</f>
        <v/>
      </c>
      <c r="O19" s="5">
        <f>IF(M19&gt;"",IF(M19&gt;L19,M19-L19,0),"")</f>
        <v/>
      </c>
      <c r="P19" s="4" t="n">
        <v>45856</v>
      </c>
      <c r="Q19" s="2" t="inlineStr">
        <is>
          <t>Owner</t>
        </is>
      </c>
      <c r="R19" s="2" t="inlineStr">
        <is>
          <t>Notes for item 18</t>
        </is>
      </c>
    </row>
    <row r="20">
      <c r="A20" s="2" t="n">
        <v>19</v>
      </c>
      <c r="B20" s="2" t="inlineStr">
        <is>
          <t>Field lighting towers</t>
        </is>
      </c>
      <c r="C20" s="2" t="inlineStr">
        <is>
          <t>Signage</t>
        </is>
      </c>
      <c r="D20" s="2" t="n">
        <v>100</v>
      </c>
      <c r="E20" s="2" t="inlineStr">
        <is>
          <t>RL</t>
        </is>
      </c>
      <c r="F20" s="3" t="n">
        <v>18955.32</v>
      </c>
      <c r="G20" s="3">
        <f>D20*F20</f>
        <v/>
      </c>
      <c r="H20" s="2" t="inlineStr">
        <is>
          <t>Shipped</t>
        </is>
      </c>
      <c r="I20" s="2" t="inlineStr">
        <is>
          <t>Bose Pro</t>
        </is>
      </c>
      <c r="J20" s="2" t="inlineStr">
        <is>
          <t>PO-2026-0019</t>
        </is>
      </c>
      <c r="K20" s="4" t="n">
        <v>45901</v>
      </c>
      <c r="L20" s="4" t="n">
        <v>45951</v>
      </c>
      <c r="M20" s="2" t="inlineStr"/>
      <c r="N20" s="5">
        <f>L20-K20</f>
        <v/>
      </c>
      <c r="O20" s="5">
        <f>IF(M20&gt;"",IF(M20&gt;L20,M20-L20,0),"")</f>
        <v/>
      </c>
      <c r="P20" s="4" t="n">
        <v>45984</v>
      </c>
      <c r="Q20" s="2" t="inlineStr">
        <is>
          <t>Vendor</t>
        </is>
      </c>
      <c r="R20" s="2" t="inlineStr"/>
    </row>
    <row r="21">
      <c r="A21" s="2" t="n">
        <v>20</v>
      </c>
      <c r="B21" s="2" t="inlineStr">
        <is>
          <t>Athletic training equipment</t>
        </is>
      </c>
      <c r="C21" s="2" t="inlineStr">
        <is>
          <t>Art/Decor</t>
        </is>
      </c>
      <c r="D21" s="2" t="n">
        <v>100</v>
      </c>
      <c r="E21" s="2" t="inlineStr">
        <is>
          <t>SET</t>
        </is>
      </c>
      <c r="F21" s="3" t="n">
        <v>21534.03</v>
      </c>
      <c r="G21" s="3">
        <f>D21*F21</f>
        <v/>
      </c>
      <c r="H21" s="2" t="inlineStr">
        <is>
          <t>Not Started</t>
        </is>
      </c>
      <c r="I21" s="2" t="inlineStr">
        <is>
          <t>American Seating</t>
        </is>
      </c>
      <c r="J21" s="2" t="inlineStr">
        <is>
          <t>PO-2026-0020</t>
        </is>
      </c>
      <c r="K21" s="4" t="n">
        <v>45766</v>
      </c>
      <c r="L21" s="4" t="n">
        <v>45867</v>
      </c>
      <c r="M21" s="2" t="inlineStr"/>
      <c r="N21" s="5">
        <f>L21-K21</f>
        <v/>
      </c>
      <c r="O21" s="5">
        <f>IF(M21&gt;"",IF(M21&gt;L21,M21-L21,0),"")</f>
        <v/>
      </c>
      <c r="P21" s="4" t="n">
        <v>45878</v>
      </c>
      <c r="Q21" s="2" t="inlineStr">
        <is>
          <t>Vendor</t>
        </is>
      </c>
      <c r="R21" s="2" t="inlineStr"/>
    </row>
    <row r="22">
      <c r="A22" s="2" t="n">
        <v>21</v>
      </c>
      <c r="B22" s="2" t="inlineStr">
        <is>
          <t>PA system speakers</t>
        </is>
      </c>
      <c r="C22" s="2" t="inlineStr">
        <is>
          <t>AV/Technology</t>
        </is>
      </c>
      <c r="D22" s="2" t="n">
        <v>496</v>
      </c>
      <c r="E22" s="2" t="inlineStr">
        <is>
          <t>PR</t>
        </is>
      </c>
      <c r="F22" s="3" t="n">
        <v>21799.17</v>
      </c>
      <c r="G22" s="3">
        <f>D22*F22</f>
        <v/>
      </c>
      <c r="H22" s="2" t="inlineStr">
        <is>
          <t>Shipped</t>
        </is>
      </c>
      <c r="I22" s="2" t="inlineStr">
        <is>
          <t>JBL Professional</t>
        </is>
      </c>
      <c r="J22" s="2" t="inlineStr">
        <is>
          <t>PO-2026-0021</t>
        </is>
      </c>
      <c r="K22" s="4" t="n">
        <v>45855</v>
      </c>
      <c r="L22" s="4" t="n">
        <v>46007</v>
      </c>
      <c r="M22" s="2" t="inlineStr"/>
      <c r="N22" s="5">
        <f>L22-K22</f>
        <v/>
      </c>
      <c r="O22" s="5">
        <f>IF(M22&gt;"",IF(M22&gt;L22,M22-L22,0),"")</f>
        <v/>
      </c>
      <c r="P22" s="4" t="n">
        <v>46029</v>
      </c>
      <c r="Q22" s="2" t="inlineStr">
        <is>
          <t>Owner</t>
        </is>
      </c>
      <c r="R22" s="2" t="inlineStr"/>
    </row>
    <row r="23">
      <c r="A23" s="2" t="n">
        <v>22</v>
      </c>
      <c r="B23" s="2" t="inlineStr">
        <is>
          <t>Luxury suite bar stools</t>
        </is>
      </c>
      <c r="C23" s="2" t="inlineStr">
        <is>
          <t>Textiles</t>
        </is>
      </c>
      <c r="D23" s="2" t="n">
        <v>326</v>
      </c>
      <c r="E23" s="2" t="inlineStr">
        <is>
          <t>LF</t>
        </is>
      </c>
      <c r="F23" s="3" t="n">
        <v>21551.05</v>
      </c>
      <c r="G23" s="3">
        <f>D23*F23</f>
        <v/>
      </c>
      <c r="H23" s="2" t="inlineStr">
        <is>
          <t>Installed</t>
        </is>
      </c>
      <c r="I23" s="2" t="inlineStr">
        <is>
          <t>GE Current</t>
        </is>
      </c>
      <c r="J23" s="2" t="inlineStr">
        <is>
          <t>PO-2026-0022</t>
        </is>
      </c>
      <c r="K23" s="4" t="n">
        <v>45809</v>
      </c>
      <c r="L23" s="4" t="n">
        <v>45883</v>
      </c>
      <c r="M23" s="4" t="n">
        <v>45899</v>
      </c>
      <c r="N23" s="5">
        <f>L23-K23</f>
        <v/>
      </c>
      <c r="O23" s="5">
        <f>IF(M23&gt;"",IF(M23&gt;L23,M23-L23,0),"")</f>
        <v/>
      </c>
      <c r="P23" s="4" t="n">
        <v>45894</v>
      </c>
      <c r="Q23" s="2" t="inlineStr">
        <is>
          <t>Vendor</t>
        </is>
      </c>
      <c r="R23" s="2" t="inlineStr"/>
    </row>
    <row r="24">
      <c r="A24" s="2" t="n">
        <v>23</v>
      </c>
      <c r="B24" s="2" t="inlineStr">
        <is>
          <t>Exhaust hood system</t>
        </is>
      </c>
      <c r="C24" s="2" t="inlineStr">
        <is>
          <t>Uniforms</t>
        </is>
      </c>
      <c r="D24" s="2" t="n">
        <v>425</v>
      </c>
      <c r="E24" s="2" t="inlineStr">
        <is>
          <t>EA</t>
        </is>
      </c>
      <c r="F24" s="3" t="n">
        <v>3869.01</v>
      </c>
      <c r="G24" s="3">
        <f>D24*F24</f>
        <v/>
      </c>
      <c r="H24" s="2" t="inlineStr">
        <is>
          <t>Shipped</t>
        </is>
      </c>
      <c r="I24" s="2" t="inlineStr">
        <is>
          <t>Steelcase Inc.</t>
        </is>
      </c>
      <c r="J24" s="2" t="inlineStr">
        <is>
          <t>PO-2026-0023</t>
        </is>
      </c>
      <c r="K24" s="4" t="n">
        <v>45672</v>
      </c>
      <c r="L24" s="4" t="n">
        <v>45695</v>
      </c>
      <c r="M24" s="2" t="inlineStr"/>
      <c r="N24" s="5">
        <f>L24-K24</f>
        <v/>
      </c>
      <c r="O24" s="5">
        <f>IF(M24&gt;"",IF(M24&gt;L24,M24-L24,0),"")</f>
        <v/>
      </c>
      <c r="P24" s="4" t="n">
        <v>45740</v>
      </c>
      <c r="Q24" s="2" t="inlineStr">
        <is>
          <t>Vendor</t>
        </is>
      </c>
      <c r="R24" s="2" t="inlineStr"/>
    </row>
    <row r="25">
      <c r="A25" s="2" t="n">
        <v>24</v>
      </c>
      <c r="B25" s="2" t="inlineStr">
        <is>
          <t>Entrance canopy signage</t>
        </is>
      </c>
      <c r="C25" s="2" t="inlineStr">
        <is>
          <t>Uniforms</t>
        </is>
      </c>
      <c r="D25" s="2" t="n">
        <v>225</v>
      </c>
      <c r="E25" s="2" t="inlineStr">
        <is>
          <t>SF</t>
        </is>
      </c>
      <c r="F25" s="3" t="n">
        <v>9648.23</v>
      </c>
      <c r="G25" s="3">
        <f>D25*F25</f>
        <v/>
      </c>
      <c r="H25" s="2" t="inlineStr">
        <is>
          <t>Installed</t>
        </is>
      </c>
      <c r="I25" s="2" t="inlineStr">
        <is>
          <t>Bose Pro</t>
        </is>
      </c>
      <c r="J25" s="2" t="inlineStr">
        <is>
          <t>PO-2026-0024</t>
        </is>
      </c>
      <c r="K25" s="4" t="n">
        <v>46058</v>
      </c>
      <c r="L25" s="4" t="n">
        <v>46134</v>
      </c>
      <c r="M25" s="4" t="n">
        <v>46146</v>
      </c>
      <c r="N25" s="5">
        <f>L25-K25</f>
        <v/>
      </c>
      <c r="O25" s="5">
        <f>IF(M25&gt;"",IF(M25&gt;L25,M25-L25,0),"")</f>
        <v/>
      </c>
      <c r="P25" s="4" t="n">
        <v>46176</v>
      </c>
      <c r="Q25" s="2" t="inlineStr">
        <is>
          <t>Vendor</t>
        </is>
      </c>
      <c r="R25" s="2" t="inlineStr"/>
    </row>
    <row r="26">
      <c r="A26" s="2" t="n">
        <v>25</v>
      </c>
      <c r="B26" s="2" t="inlineStr">
        <is>
          <t>Locker room flooring</t>
        </is>
      </c>
      <c r="C26" s="2" t="inlineStr">
        <is>
          <t>Uniforms</t>
        </is>
      </c>
      <c r="D26" s="2" t="n">
        <v>179</v>
      </c>
      <c r="E26" s="2" t="inlineStr">
        <is>
          <t>GL</t>
        </is>
      </c>
      <c r="F26" s="3" t="n">
        <v>16969.67</v>
      </c>
      <c r="G26" s="3">
        <f>D26*F26</f>
        <v/>
      </c>
      <c r="H26" s="2" t="inlineStr">
        <is>
          <t>Complete</t>
        </is>
      </c>
      <c r="I26" s="2" t="inlineStr">
        <is>
          <t>Herman Miller</t>
        </is>
      </c>
      <c r="J26" s="2" t="inlineStr">
        <is>
          <t>PO-2026-0025</t>
        </is>
      </c>
      <c r="K26" s="4" t="n">
        <v>46045</v>
      </c>
      <c r="L26" s="4" t="n">
        <v>46114</v>
      </c>
      <c r="M26" s="4" t="n">
        <v>46110</v>
      </c>
      <c r="N26" s="5">
        <f>L26-K26</f>
        <v/>
      </c>
      <c r="O26" s="5">
        <f>IF(M26&gt;"",IF(M26&gt;L26,M26-L26,0),"")</f>
        <v/>
      </c>
      <c r="P26" s="4" t="n">
        <v>46130</v>
      </c>
      <c r="Q26" s="2" t="inlineStr">
        <is>
          <t>GC</t>
        </is>
      </c>
      <c r="R26" s="2" t="inlineStr">
        <is>
          <t>Notes for item 25</t>
        </is>
      </c>
    </row>
    <row r="27">
      <c r="A27" s="2" t="n">
        <v>26</v>
      </c>
      <c r="B27" s="2" t="inlineStr">
        <is>
          <t>Concourse seating</t>
        </is>
      </c>
      <c r="C27" s="2" t="inlineStr">
        <is>
          <t>Signage</t>
        </is>
      </c>
      <c r="D27" s="2" t="n">
        <v>279</v>
      </c>
      <c r="E27" s="2" t="inlineStr">
        <is>
          <t>UNIT</t>
        </is>
      </c>
      <c r="F27" s="3" t="n">
        <v>24878.8</v>
      </c>
      <c r="G27" s="3">
        <f>D27*F27</f>
        <v/>
      </c>
      <c r="H27" s="2" t="inlineStr">
        <is>
          <t>Not Started</t>
        </is>
      </c>
      <c r="I27" s="2" t="inlineStr">
        <is>
          <t>Hobart Corp</t>
        </is>
      </c>
      <c r="J27" s="2" t="inlineStr">
        <is>
          <t>PO-2026-0026</t>
        </is>
      </c>
      <c r="K27" s="4" t="n">
        <v>45827</v>
      </c>
      <c r="L27" s="4" t="n">
        <v>45858</v>
      </c>
      <c r="M27" s="2" t="inlineStr"/>
      <c r="N27" s="5">
        <f>L27-K27</f>
        <v/>
      </c>
      <c r="O27" s="5">
        <f>IF(M27&gt;"",IF(M27&gt;L27,M27-L27,0),"")</f>
        <v/>
      </c>
      <c r="P27" s="4" t="n">
        <v>45886</v>
      </c>
      <c r="Q27" s="2" t="inlineStr">
        <is>
          <t>Vendor</t>
        </is>
      </c>
      <c r="R27" s="2" t="inlineStr"/>
    </row>
    <row r="28">
      <c r="A28" s="2" t="n">
        <v>27</v>
      </c>
      <c r="B28" s="2" t="inlineStr">
        <is>
          <t>Back-of-house shelving</t>
        </is>
      </c>
      <c r="C28" s="2" t="inlineStr">
        <is>
          <t>Signage</t>
        </is>
      </c>
      <c r="D28" s="2" t="n">
        <v>205</v>
      </c>
      <c r="E28" s="2" t="inlineStr">
        <is>
          <t>SF</t>
        </is>
      </c>
      <c r="F28" s="3" t="n">
        <v>11228.33</v>
      </c>
      <c r="G28" s="3">
        <f>D28*F28</f>
        <v/>
      </c>
      <c r="H28" s="2" t="inlineStr">
        <is>
          <t>Not Started</t>
        </is>
      </c>
      <c r="I28" s="2" t="inlineStr">
        <is>
          <t>Philips Lighting</t>
        </is>
      </c>
      <c r="J28" s="2" t="inlineStr">
        <is>
          <t>PO-2026-0027</t>
        </is>
      </c>
      <c r="K28" s="4" t="n">
        <v>45980</v>
      </c>
      <c r="L28" s="4" t="n">
        <v>46038</v>
      </c>
      <c r="M28" s="2" t="inlineStr"/>
      <c r="N28" s="5">
        <f>L28-K28</f>
        <v/>
      </c>
      <c r="O28" s="5">
        <f>IF(M28&gt;"",IF(M28&gt;L28,M28-L28,0),"")</f>
        <v/>
      </c>
      <c r="P28" s="4" t="n">
        <v>46068</v>
      </c>
      <c r="Q28" s="2" t="inlineStr">
        <is>
          <t>GC</t>
        </is>
      </c>
      <c r="R28" s="2" t="inlineStr">
        <is>
          <t>Notes for item 27</t>
        </is>
      </c>
    </row>
    <row r="29">
      <c r="A29" s="2" t="n">
        <v>28</v>
      </c>
      <c r="B29" s="2" t="inlineStr">
        <is>
          <t>Security camera system</t>
        </is>
      </c>
      <c r="C29" s="2" t="inlineStr">
        <is>
          <t>Equipment</t>
        </is>
      </c>
      <c r="D29" s="2" t="n">
        <v>380</v>
      </c>
      <c r="E29" s="2" t="inlineStr">
        <is>
          <t>EA</t>
        </is>
      </c>
      <c r="F29" s="3" t="n">
        <v>11890.23</v>
      </c>
      <c r="G29" s="3">
        <f>D29*F29</f>
        <v/>
      </c>
      <c r="H29" s="2" t="inlineStr">
        <is>
          <t>Complete</t>
        </is>
      </c>
      <c r="I29" s="2" t="inlineStr">
        <is>
          <t>Ferguson Enterprises</t>
        </is>
      </c>
      <c r="J29" s="2" t="inlineStr">
        <is>
          <t>PO-2026-0028</t>
        </is>
      </c>
      <c r="K29" s="4" t="n">
        <v>45961</v>
      </c>
      <c r="L29" s="4" t="n">
        <v>46000</v>
      </c>
      <c r="M29" s="4" t="n">
        <v>45993</v>
      </c>
      <c r="N29" s="5">
        <f>L29-K29</f>
        <v/>
      </c>
      <c r="O29" s="5">
        <f>IF(M29&gt;"",IF(M29&gt;L29,M29-L29,0),"")</f>
        <v/>
      </c>
      <c r="P29" s="4" t="n">
        <v>46032</v>
      </c>
      <c r="Q29" s="2" t="inlineStr">
        <is>
          <t>Vendor</t>
        </is>
      </c>
      <c r="R29" s="2" t="inlineStr"/>
    </row>
    <row r="30">
      <c r="A30" s="2" t="n">
        <v>29</v>
      </c>
      <c r="B30" s="2" t="inlineStr">
        <is>
          <t>Ticket booth fixtures</t>
        </is>
      </c>
      <c r="C30" s="2" t="inlineStr">
        <is>
          <t>Textiles</t>
        </is>
      </c>
      <c r="D30" s="2" t="n">
        <v>197</v>
      </c>
      <c r="E30" s="2" t="inlineStr">
        <is>
          <t>SET</t>
        </is>
      </c>
      <c r="F30" s="3" t="n">
        <v>18716.82</v>
      </c>
      <c r="G30" s="3">
        <f>D30*F30</f>
        <v/>
      </c>
      <c r="H30" s="2" t="inlineStr">
        <is>
          <t>Received</t>
        </is>
      </c>
      <c r="I30" s="2" t="inlineStr">
        <is>
          <t>GE Current</t>
        </is>
      </c>
      <c r="J30" s="2" t="inlineStr">
        <is>
          <t>PO-2026-0029</t>
        </is>
      </c>
      <c r="K30" s="4" t="n">
        <v>45958</v>
      </c>
      <c r="L30" s="4" t="n">
        <v>46055</v>
      </c>
      <c r="M30" s="4" t="n">
        <v>46069</v>
      </c>
      <c r="N30" s="5">
        <f>L30-K30</f>
        <v/>
      </c>
      <c r="O30" s="5">
        <f>IF(M30&gt;"",IF(M30&gt;L30,M30-L30,0),"")</f>
        <v/>
      </c>
      <c r="P30" s="4" t="n">
        <v>46100</v>
      </c>
      <c r="Q30" s="2" t="inlineStr">
        <is>
          <t>Vendor</t>
        </is>
      </c>
      <c r="R30" s="2" t="inlineStr"/>
    </row>
    <row r="31">
      <c r="A31" s="2" t="n">
        <v>30</v>
      </c>
      <c r="B31" s="2" t="inlineStr">
        <is>
          <t>Team locker room lockers</t>
        </is>
      </c>
      <c r="C31" s="2" t="inlineStr">
        <is>
          <t>Art/Decor</t>
        </is>
      </c>
      <c r="D31" s="2" t="n">
        <v>437</v>
      </c>
      <c r="E31" s="2" t="inlineStr">
        <is>
          <t>GL</t>
        </is>
      </c>
      <c r="F31" s="3" t="n">
        <v>11953.94</v>
      </c>
      <c r="G31" s="3">
        <f>D31*F31</f>
        <v/>
      </c>
      <c r="H31" s="2" t="inlineStr">
        <is>
          <t>Not Started</t>
        </is>
      </c>
      <c r="I31" s="2" t="inlineStr">
        <is>
          <t>Sysco Equipment</t>
        </is>
      </c>
      <c r="J31" s="2" t="inlineStr">
        <is>
          <t>PO-2026-0030</t>
        </is>
      </c>
      <c r="K31" s="4" t="n">
        <v>45779</v>
      </c>
      <c r="L31" s="4" t="n">
        <v>45795</v>
      </c>
      <c r="M31" s="2" t="inlineStr"/>
      <c r="N31" s="5">
        <f>L31-K31</f>
        <v/>
      </c>
      <c r="O31" s="5">
        <f>IF(M31&gt;"",IF(M31&gt;L31,M31-L31,0),"")</f>
        <v/>
      </c>
      <c r="P31" s="4" t="n">
        <v>45812</v>
      </c>
      <c r="Q31" s="2" t="inlineStr">
        <is>
          <t>Vendor</t>
        </is>
      </c>
      <c r="R31" s="2" t="inlineStr"/>
    </row>
    <row r="32">
      <c r="A32" s="2" t="n">
        <v>31</v>
      </c>
      <c r="B32" s="2" t="inlineStr">
        <is>
          <t>Elevator cab finishes</t>
        </is>
      </c>
      <c r="C32" s="2" t="inlineStr">
        <is>
          <t>Textiles</t>
        </is>
      </c>
      <c r="D32" s="2" t="n">
        <v>494</v>
      </c>
      <c r="E32" s="2" t="inlineStr">
        <is>
          <t>SF</t>
        </is>
      </c>
      <c r="F32" s="3" t="n">
        <v>10416.37</v>
      </c>
      <c r="G32" s="3">
        <f>D32*F32</f>
        <v/>
      </c>
      <c r="H32" s="2" t="inlineStr">
        <is>
          <t>Complete</t>
        </is>
      </c>
      <c r="I32" s="2" t="inlineStr">
        <is>
          <t>Yamaha Commercial</t>
        </is>
      </c>
      <c r="J32" s="2" t="inlineStr">
        <is>
          <t>PO-2026-0031</t>
        </is>
      </c>
      <c r="K32" s="4" t="n">
        <v>45680</v>
      </c>
      <c r="L32" s="4" t="n">
        <v>45784</v>
      </c>
      <c r="M32" s="4" t="n">
        <v>45778</v>
      </c>
      <c r="N32" s="5">
        <f>L32-K32</f>
        <v/>
      </c>
      <c r="O32" s="5">
        <f>IF(M32&gt;"",IF(M32&gt;L32,M32-L32,0),"")</f>
        <v/>
      </c>
      <c r="P32" s="4" t="n">
        <v>45808</v>
      </c>
      <c r="Q32" s="2" t="inlineStr">
        <is>
          <t>GC</t>
        </is>
      </c>
      <c r="R32" s="2" t="inlineStr">
        <is>
          <t>Notes for item 31</t>
        </is>
      </c>
    </row>
    <row r="33">
      <c r="A33" s="2" t="n">
        <v>32</v>
      </c>
      <c r="B33" s="2" t="inlineStr">
        <is>
          <t>Stadium club chairs</t>
        </is>
      </c>
      <c r="C33" s="2" t="inlineStr">
        <is>
          <t>Art/Decor</t>
        </is>
      </c>
      <c r="D33" s="2" t="n">
        <v>46</v>
      </c>
      <c r="E33" s="2" t="inlineStr">
        <is>
          <t>EA</t>
        </is>
      </c>
      <c r="F33" s="3" t="n">
        <v>1894.74</v>
      </c>
      <c r="G33" s="3">
        <f>D33*F33</f>
        <v/>
      </c>
      <c r="H33" s="2" t="inlineStr">
        <is>
          <t>Installed</t>
        </is>
      </c>
      <c r="I33" s="2" t="inlineStr">
        <is>
          <t>Samsung Display</t>
        </is>
      </c>
      <c r="J33" s="2" t="inlineStr">
        <is>
          <t>PO-2026-0032</t>
        </is>
      </c>
      <c r="K33" s="4" t="n">
        <v>45791</v>
      </c>
      <c r="L33" s="4" t="n">
        <v>45966</v>
      </c>
      <c r="M33" s="4" t="n">
        <v>45965</v>
      </c>
      <c r="N33" s="5">
        <f>L33-K33</f>
        <v/>
      </c>
      <c r="O33" s="5">
        <f>IF(M33&gt;"",IF(M33&gt;L33,M33-L33,0),"")</f>
        <v/>
      </c>
      <c r="P33" s="4" t="n">
        <v>46003</v>
      </c>
      <c r="Q33" s="2" t="inlineStr">
        <is>
          <t>Vendor</t>
        </is>
      </c>
      <c r="R33" s="2" t="inlineStr"/>
    </row>
    <row r="34">
      <c r="A34" s="2" t="n">
        <v>33</v>
      </c>
      <c r="B34" s="2" t="inlineStr">
        <is>
          <t>Ice machine units</t>
        </is>
      </c>
      <c r="C34" s="2" t="inlineStr">
        <is>
          <t>Furniture</t>
        </is>
      </c>
      <c r="D34" s="2" t="n">
        <v>411</v>
      </c>
      <c r="E34" s="2" t="inlineStr">
        <is>
          <t>RL</t>
        </is>
      </c>
      <c r="F34" s="3" t="n">
        <v>24195.89</v>
      </c>
      <c r="G34" s="3">
        <f>D34*F34</f>
        <v/>
      </c>
      <c r="H34" s="2" t="inlineStr">
        <is>
          <t>Installed</t>
        </is>
      </c>
      <c r="I34" s="2" t="inlineStr">
        <is>
          <t>JBL Professional</t>
        </is>
      </c>
      <c r="J34" s="2" t="inlineStr">
        <is>
          <t>PO-2026-0033</t>
        </is>
      </c>
      <c r="K34" s="4" t="n">
        <v>45976</v>
      </c>
      <c r="L34" s="4" t="n">
        <v>46116</v>
      </c>
      <c r="M34" s="4" t="n">
        <v>46123</v>
      </c>
      <c r="N34" s="5">
        <f>L34-K34</f>
        <v/>
      </c>
      <c r="O34" s="5">
        <f>IF(M34&gt;"",IF(M34&gt;L34,M34-L34,0),"")</f>
        <v/>
      </c>
      <c r="P34" s="4" t="n">
        <v>46140</v>
      </c>
      <c r="Q34" s="2" t="inlineStr">
        <is>
          <t>GC</t>
        </is>
      </c>
      <c r="R34" s="2" t="inlineStr"/>
    </row>
    <row r="35">
      <c r="A35" s="2" t="n">
        <v>34</v>
      </c>
      <c r="B35" s="2" t="inlineStr">
        <is>
          <t>Directional signage interior</t>
        </is>
      </c>
      <c r="C35" s="2" t="inlineStr">
        <is>
          <t>OS&amp;E</t>
        </is>
      </c>
      <c r="D35" s="2" t="n">
        <v>114</v>
      </c>
      <c r="E35" s="2" t="inlineStr">
        <is>
          <t>RL</t>
        </is>
      </c>
      <c r="F35" s="3" t="n">
        <v>17653.13</v>
      </c>
      <c r="G35" s="3">
        <f>D35*F35</f>
        <v/>
      </c>
      <c r="H35" s="2" t="inlineStr">
        <is>
          <t>Complete</t>
        </is>
      </c>
      <c r="I35" s="2" t="inlineStr">
        <is>
          <t>Samsung Display</t>
        </is>
      </c>
      <c r="J35" s="2" t="inlineStr">
        <is>
          <t>PO-2026-0034</t>
        </is>
      </c>
      <c r="K35" s="4" t="n">
        <v>45823</v>
      </c>
      <c r="L35" s="4" t="n">
        <v>45847</v>
      </c>
      <c r="M35" s="4" t="n">
        <v>45855</v>
      </c>
      <c r="N35" s="5">
        <f>L35-K35</f>
        <v/>
      </c>
      <c r="O35" s="5">
        <f>IF(M35&gt;"",IF(M35&gt;L35,M35-L35,0),"")</f>
        <v/>
      </c>
      <c r="P35" s="4" t="n">
        <v>45854</v>
      </c>
      <c r="Q35" s="2" t="inlineStr">
        <is>
          <t>Vendor</t>
        </is>
      </c>
      <c r="R35" s="2" t="inlineStr">
        <is>
          <t>Notes for item 34</t>
        </is>
      </c>
    </row>
    <row r="36">
      <c r="A36" s="2" t="n">
        <v>35</v>
      </c>
      <c r="B36" s="2" t="inlineStr">
        <is>
          <t>Field wall padding</t>
        </is>
      </c>
      <c r="C36" s="2" t="inlineStr">
        <is>
          <t>OS&amp;E</t>
        </is>
      </c>
      <c r="D36" s="2" t="n">
        <v>310</v>
      </c>
      <c r="E36" s="2" t="inlineStr">
        <is>
          <t>PR</t>
        </is>
      </c>
      <c r="F36" s="3" t="n">
        <v>9258.75</v>
      </c>
      <c r="G36" s="3">
        <f>D36*F36</f>
        <v/>
      </c>
      <c r="H36" s="2" t="inlineStr">
        <is>
          <t>Shipped</t>
        </is>
      </c>
      <c r="I36" s="2" t="inlineStr">
        <is>
          <t>Eaton Corp</t>
        </is>
      </c>
      <c r="J36" s="2" t="inlineStr">
        <is>
          <t>PO-2026-0035</t>
        </is>
      </c>
      <c r="K36" s="4" t="n">
        <v>46149</v>
      </c>
      <c r="L36" s="4" t="n">
        <v>46174</v>
      </c>
      <c r="M36" s="2" t="inlineStr"/>
      <c r="N36" s="5">
        <f>L36-K36</f>
        <v/>
      </c>
      <c r="O36" s="5">
        <f>IF(M36&gt;"",IF(M36&gt;L36,M36-L36,0),"")</f>
        <v/>
      </c>
      <c r="P36" s="4" t="n">
        <v>46208</v>
      </c>
      <c r="Q36" s="2" t="inlineStr">
        <is>
          <t>Vendor</t>
        </is>
      </c>
      <c r="R36" s="2" t="inlineStr"/>
    </row>
    <row r="37">
      <c r="A37" s="2" t="n">
        <v>36</v>
      </c>
      <c r="B37" s="2" t="inlineStr">
        <is>
          <t>Warm-up area equipment</t>
        </is>
      </c>
      <c r="C37" s="2" t="inlineStr">
        <is>
          <t>Art/Decor</t>
        </is>
      </c>
      <c r="D37" s="2" t="n">
        <v>171</v>
      </c>
      <c r="E37" s="2" t="inlineStr">
        <is>
          <t>GL</t>
        </is>
      </c>
      <c r="F37" s="3" t="n">
        <v>378.08</v>
      </c>
      <c r="G37" s="3">
        <f>D37*F37</f>
        <v/>
      </c>
      <c r="H37" s="2" t="inlineStr">
        <is>
          <t>Received</t>
        </is>
      </c>
      <c r="I37" s="2" t="inlineStr">
        <is>
          <t>ASM Global</t>
        </is>
      </c>
      <c r="J37" s="2" t="inlineStr">
        <is>
          <t>PO-2026-0036</t>
        </is>
      </c>
      <c r="K37" s="4" t="n">
        <v>45887</v>
      </c>
      <c r="L37" s="4" t="n">
        <v>46044</v>
      </c>
      <c r="M37" s="4" t="n">
        <v>46055</v>
      </c>
      <c r="N37" s="5">
        <f>L37-K37</f>
        <v/>
      </c>
      <c r="O37" s="5">
        <f>IF(M37&gt;"",IF(M37&gt;L37,M37-L37,0),"")</f>
        <v/>
      </c>
      <c r="P37" s="4" t="n">
        <v>46065</v>
      </c>
      <c r="Q37" s="2" t="inlineStr">
        <is>
          <t>Owner</t>
        </is>
      </c>
      <c r="R37" s="2" t="inlineStr"/>
    </row>
    <row r="38">
      <c r="A38" s="2" t="n">
        <v>37</v>
      </c>
      <c r="B38" s="2" t="inlineStr">
        <is>
          <t>Broadcast booth desks</t>
        </is>
      </c>
      <c r="C38" s="2" t="inlineStr">
        <is>
          <t>Kitchen/F&amp;B</t>
        </is>
      </c>
      <c r="D38" s="2" t="n">
        <v>240</v>
      </c>
      <c r="E38" s="2" t="inlineStr">
        <is>
          <t>UNIT</t>
        </is>
      </c>
      <c r="F38" s="3" t="n">
        <v>7931.55</v>
      </c>
      <c r="G38" s="3">
        <f>D38*F38</f>
        <v/>
      </c>
      <c r="H38" s="2" t="inlineStr">
        <is>
          <t>Installed</t>
        </is>
      </c>
      <c r="I38" s="2" t="inlineStr">
        <is>
          <t>Steelcase Inc.</t>
        </is>
      </c>
      <c r="J38" s="2" t="inlineStr">
        <is>
          <t>PO-2026-0037</t>
        </is>
      </c>
      <c r="K38" s="4" t="n">
        <v>46125</v>
      </c>
      <c r="L38" s="4" t="n">
        <v>46215</v>
      </c>
      <c r="M38" s="4" t="n">
        <v>46209</v>
      </c>
      <c r="N38" s="5">
        <f>L38-K38</f>
        <v/>
      </c>
      <c r="O38" s="5">
        <f>IF(M38&gt;"",IF(M38&gt;L38,M38-L38,0),"")</f>
        <v/>
      </c>
      <c r="P38" s="4" t="n">
        <v>46260</v>
      </c>
      <c r="Q38" s="2" t="inlineStr">
        <is>
          <t>GC</t>
        </is>
      </c>
      <c r="R38" s="2" t="inlineStr">
        <is>
          <t>Notes for item 37</t>
        </is>
      </c>
    </row>
    <row r="39">
      <c r="A39" s="2" t="n">
        <v>38</v>
      </c>
      <c r="B39" s="2" t="inlineStr">
        <is>
          <t>Concession trash receptacles</t>
        </is>
      </c>
      <c r="C39" s="2" t="inlineStr">
        <is>
          <t>Equipment</t>
        </is>
      </c>
      <c r="D39" s="2" t="n">
        <v>151</v>
      </c>
      <c r="E39" s="2" t="inlineStr">
        <is>
          <t>UNIT</t>
        </is>
      </c>
      <c r="F39" s="3" t="n">
        <v>9501.719999999999</v>
      </c>
      <c r="G39" s="3">
        <f>D39*F39</f>
        <v/>
      </c>
      <c r="H39" s="2" t="inlineStr">
        <is>
          <t>Complete</t>
        </is>
      </c>
      <c r="I39" s="2" t="inlineStr">
        <is>
          <t>Samsung Display</t>
        </is>
      </c>
      <c r="J39" s="2" t="inlineStr">
        <is>
          <t>PO-2026-0038</t>
        </is>
      </c>
      <c r="K39" s="4" t="n">
        <v>45665</v>
      </c>
      <c r="L39" s="4" t="n">
        <v>45681</v>
      </c>
      <c r="M39" s="4" t="n">
        <v>45697</v>
      </c>
      <c r="N39" s="5">
        <f>L39-K39</f>
        <v/>
      </c>
      <c r="O39" s="5">
        <f>IF(M39&gt;"",IF(M39&gt;L39,M39-L39,0),"")</f>
        <v/>
      </c>
      <c r="P39" s="4" t="n">
        <v>45688</v>
      </c>
      <c r="Q39" s="2" t="inlineStr">
        <is>
          <t>Owner</t>
        </is>
      </c>
      <c r="R39" s="2" t="inlineStr"/>
    </row>
    <row r="40">
      <c r="A40" s="2" t="n">
        <v>39</v>
      </c>
      <c r="B40" s="2" t="inlineStr">
        <is>
          <t>HVAC control system</t>
        </is>
      </c>
      <c r="C40" s="2" t="inlineStr">
        <is>
          <t>Kitchen/F&amp;B</t>
        </is>
      </c>
      <c r="D40" s="2" t="n">
        <v>135</v>
      </c>
      <c r="E40" s="2" t="inlineStr">
        <is>
          <t>GL</t>
        </is>
      </c>
      <c r="F40" s="3" t="n">
        <v>11077.81</v>
      </c>
      <c r="G40" s="3">
        <f>D40*F40</f>
        <v/>
      </c>
      <c r="H40" s="2" t="inlineStr">
        <is>
          <t>Complete</t>
        </is>
      </c>
      <c r="I40" s="2" t="inlineStr">
        <is>
          <t>Philips Lighting</t>
        </is>
      </c>
      <c r="J40" s="2" t="inlineStr">
        <is>
          <t>PO-2026-0039</t>
        </is>
      </c>
      <c r="K40" s="4" t="n">
        <v>45716</v>
      </c>
      <c r="L40" s="4" t="n">
        <v>45742</v>
      </c>
      <c r="M40" s="4" t="n">
        <v>45761</v>
      </c>
      <c r="N40" s="5">
        <f>L40-K40</f>
        <v/>
      </c>
      <c r="O40" s="5">
        <f>IF(M40&gt;"",IF(M40&gt;L40,M40-L40,0),"")</f>
        <v/>
      </c>
      <c r="P40" s="4" t="n">
        <v>45770</v>
      </c>
      <c r="Q40" s="2" t="inlineStr">
        <is>
          <t>Owner</t>
        </is>
      </c>
      <c r="R40" s="2" t="inlineStr">
        <is>
          <t>Notes for item 39</t>
        </is>
      </c>
    </row>
    <row r="41">
      <c r="A41" s="2" t="n">
        <v>40</v>
      </c>
      <c r="B41" s="2" t="inlineStr">
        <is>
          <t>Premium club bar top</t>
        </is>
      </c>
      <c r="C41" s="2" t="inlineStr">
        <is>
          <t>OS&amp;E</t>
        </is>
      </c>
      <c r="D41" s="2" t="n">
        <v>213</v>
      </c>
      <c r="E41" s="2" t="inlineStr">
        <is>
          <t>SF</t>
        </is>
      </c>
      <c r="F41" s="3" t="n">
        <v>15147.37</v>
      </c>
      <c r="G41" s="3">
        <f>D41*F41</f>
        <v/>
      </c>
      <c r="H41" s="2" t="inlineStr">
        <is>
          <t>Complete</t>
        </is>
      </c>
      <c r="I41" s="2" t="inlineStr">
        <is>
          <t>Eaton Corp</t>
        </is>
      </c>
      <c r="J41" s="2" t="inlineStr">
        <is>
          <t>PO-2026-0040</t>
        </is>
      </c>
      <c r="K41" s="4" t="n">
        <v>45760</v>
      </c>
      <c r="L41" s="4" t="n">
        <v>45849</v>
      </c>
      <c r="M41" s="4" t="n">
        <v>45845</v>
      </c>
      <c r="N41" s="5">
        <f>L41-K41</f>
        <v/>
      </c>
      <c r="O41" s="5">
        <f>IF(M41&gt;"",IF(M41&gt;L41,M41-L41,0),"")</f>
        <v/>
      </c>
      <c r="P41" s="4" t="n">
        <v>45864</v>
      </c>
      <c r="Q41" s="2" t="inlineStr">
        <is>
          <t>GC</t>
        </is>
      </c>
      <c r="R41" s="2" t="inlineStr"/>
    </row>
    <row r="42">
      <c r="A42" s="2" t="n">
        <v>41</v>
      </c>
      <c r="B42" s="2" t="inlineStr">
        <is>
          <t>Fire suppression system</t>
        </is>
      </c>
      <c r="C42" s="2" t="inlineStr">
        <is>
          <t>Textiles</t>
        </is>
      </c>
      <c r="D42" s="2" t="n">
        <v>72</v>
      </c>
      <c r="E42" s="2" t="inlineStr">
        <is>
          <t>SET</t>
        </is>
      </c>
      <c r="F42" s="3" t="n">
        <v>21134.68</v>
      </c>
      <c r="G42" s="3">
        <f>D42*F42</f>
        <v/>
      </c>
      <c r="H42" s="2" t="inlineStr">
        <is>
          <t>Complete</t>
        </is>
      </c>
      <c r="I42" s="2" t="inlineStr">
        <is>
          <t>Hobart Corp</t>
        </is>
      </c>
      <c r="J42" s="2" t="inlineStr">
        <is>
          <t>PO-2026-0041</t>
        </is>
      </c>
      <c r="K42" s="4" t="n">
        <v>45733</v>
      </c>
      <c r="L42" s="4" t="n">
        <v>45765</v>
      </c>
      <c r="M42" s="4" t="n">
        <v>45757</v>
      </c>
      <c r="N42" s="5">
        <f>L42-K42</f>
        <v/>
      </c>
      <c r="O42" s="5">
        <f>IF(M42&gt;"",IF(M42&gt;L42,M42-L42,0),"")</f>
        <v/>
      </c>
      <c r="P42" s="4" t="n">
        <v>45795</v>
      </c>
      <c r="Q42" s="2" t="inlineStr">
        <is>
          <t>Owner</t>
        </is>
      </c>
      <c r="R42" s="2" t="inlineStr"/>
    </row>
    <row r="43">
      <c r="A43" s="2" t="n">
        <v>42</v>
      </c>
      <c r="B43" s="2" t="inlineStr">
        <is>
          <t>Exterior monument sign</t>
        </is>
      </c>
      <c r="C43" s="2" t="inlineStr">
        <is>
          <t>Uniforms</t>
        </is>
      </c>
      <c r="D43" s="2" t="n">
        <v>64</v>
      </c>
      <c r="E43" s="2" t="inlineStr">
        <is>
          <t>BOX</t>
        </is>
      </c>
      <c r="F43" s="3" t="n">
        <v>22743.85</v>
      </c>
      <c r="G43" s="3">
        <f>D43*F43</f>
        <v/>
      </c>
      <c r="H43" s="2" t="inlineStr">
        <is>
          <t>Shipped</t>
        </is>
      </c>
      <c r="I43" s="2" t="inlineStr">
        <is>
          <t>Philips Lighting</t>
        </is>
      </c>
      <c r="J43" s="2" t="inlineStr">
        <is>
          <t>PO-2026-0042</t>
        </is>
      </c>
      <c r="K43" s="4" t="n">
        <v>46116</v>
      </c>
      <c r="L43" s="4" t="n">
        <v>46146</v>
      </c>
      <c r="M43" s="2" t="inlineStr"/>
      <c r="N43" s="5">
        <f>L43-K43</f>
        <v/>
      </c>
      <c r="O43" s="5">
        <f>IF(M43&gt;"",IF(M43&gt;L43,M43-L43,0),"")</f>
        <v/>
      </c>
      <c r="P43" s="4" t="n">
        <v>46157</v>
      </c>
      <c r="Q43" s="2" t="inlineStr">
        <is>
          <t>Owner</t>
        </is>
      </c>
      <c r="R43" s="2" t="inlineStr"/>
    </row>
    <row r="44">
      <c r="A44" s="2" t="n">
        <v>43</v>
      </c>
      <c r="B44" s="2" t="inlineStr">
        <is>
          <t>Team bench seating</t>
        </is>
      </c>
      <c r="C44" s="2" t="inlineStr">
        <is>
          <t>Art/Decor</t>
        </is>
      </c>
      <c r="D44" s="2" t="n">
        <v>306</v>
      </c>
      <c r="E44" s="2" t="inlineStr">
        <is>
          <t>LF</t>
        </is>
      </c>
      <c r="F44" s="3" t="n">
        <v>6530</v>
      </c>
      <c r="G44" s="3">
        <f>D44*F44</f>
        <v/>
      </c>
      <c r="H44" s="2" t="inlineStr">
        <is>
          <t>Shipped</t>
        </is>
      </c>
      <c r="I44" s="2" t="inlineStr">
        <is>
          <t>Herman Miller</t>
        </is>
      </c>
      <c r="J44" s="2" t="inlineStr">
        <is>
          <t>PO-2026-0043</t>
        </is>
      </c>
      <c r="K44" s="4" t="n">
        <v>45937</v>
      </c>
      <c r="L44" s="4" t="n">
        <v>46082</v>
      </c>
      <c r="M44" s="2" t="inlineStr"/>
      <c r="N44" s="5">
        <f>L44-K44</f>
        <v/>
      </c>
      <c r="O44" s="5">
        <f>IF(M44&gt;"",IF(M44&gt;L44,M44-L44,0),"")</f>
        <v/>
      </c>
      <c r="P44" s="4" t="n">
        <v>46101</v>
      </c>
      <c r="Q44" s="2" t="inlineStr">
        <is>
          <t>Vendor</t>
        </is>
      </c>
      <c r="R44" s="2" t="inlineStr"/>
    </row>
    <row r="45">
      <c r="A45" s="2" t="n">
        <v>44</v>
      </c>
      <c r="B45" s="2" t="inlineStr">
        <is>
          <t>Medical/athletic training supplies</t>
        </is>
      </c>
      <c r="C45" s="2" t="inlineStr">
        <is>
          <t>Textiles</t>
        </is>
      </c>
      <c r="D45" s="2" t="n">
        <v>361</v>
      </c>
      <c r="E45" s="2" t="inlineStr">
        <is>
          <t>SF</t>
        </is>
      </c>
      <c r="F45" s="3" t="n">
        <v>8733.51</v>
      </c>
      <c r="G45" s="3">
        <f>D45*F45</f>
        <v/>
      </c>
      <c r="H45" s="2" t="inlineStr">
        <is>
          <t>Shipped</t>
        </is>
      </c>
      <c r="I45" s="2" t="inlineStr">
        <is>
          <t>GE Current</t>
        </is>
      </c>
      <c r="J45" s="2" t="inlineStr">
        <is>
          <t>PO-2026-0044</t>
        </is>
      </c>
      <c r="K45" s="4" t="n">
        <v>45706</v>
      </c>
      <c r="L45" s="4" t="n">
        <v>45878</v>
      </c>
      <c r="M45" s="2" t="inlineStr"/>
      <c r="N45" s="5">
        <f>L45-K45</f>
        <v/>
      </c>
      <c r="O45" s="5">
        <f>IF(M45&gt;"",IF(M45&gt;L45,M45-L45,0),"")</f>
        <v/>
      </c>
      <c r="P45" s="4" t="n">
        <v>45909</v>
      </c>
      <c r="Q45" s="2" t="inlineStr">
        <is>
          <t>Owner</t>
        </is>
      </c>
      <c r="R45" s="2" t="inlineStr"/>
    </row>
    <row r="46">
      <c r="A46" s="2" t="n">
        <v>45</v>
      </c>
      <c r="B46" s="2" t="inlineStr">
        <is>
          <t>Scoreboard controller</t>
        </is>
      </c>
      <c r="C46" s="2" t="inlineStr">
        <is>
          <t>Equipment</t>
        </is>
      </c>
      <c r="D46" s="2" t="n">
        <v>464</v>
      </c>
      <c r="E46" s="2" t="inlineStr">
        <is>
          <t>EA</t>
        </is>
      </c>
      <c r="F46" s="3" t="n">
        <v>15198</v>
      </c>
      <c r="G46" s="3">
        <f>D46*F46</f>
        <v/>
      </c>
      <c r="H46" s="2" t="inlineStr">
        <is>
          <t>Received</t>
        </is>
      </c>
      <c r="I46" s="2" t="inlineStr">
        <is>
          <t>GE Current</t>
        </is>
      </c>
      <c r="J46" s="2" t="inlineStr">
        <is>
          <t>PO-2026-0045</t>
        </is>
      </c>
      <c r="K46" s="4" t="n">
        <v>45912</v>
      </c>
      <c r="L46" s="4" t="n">
        <v>46021</v>
      </c>
      <c r="M46" s="4" t="n">
        <v>46039</v>
      </c>
      <c r="N46" s="5">
        <f>L46-K46</f>
        <v/>
      </c>
      <c r="O46" s="5">
        <f>IF(M46&gt;"",IF(M46&gt;L46,M46-L46,0),"")</f>
        <v/>
      </c>
      <c r="P46" s="4" t="n">
        <v>46048</v>
      </c>
      <c r="Q46" s="2" t="inlineStr">
        <is>
          <t>GC</t>
        </is>
      </c>
      <c r="R46" s="2" t="inlineStr"/>
    </row>
    <row r="47">
      <c r="A47" s="2" t="n">
        <v>46</v>
      </c>
      <c r="B47" s="2" t="inlineStr">
        <is>
          <t>Suite kitchenette cabinets</t>
        </is>
      </c>
      <c r="C47" s="2" t="inlineStr">
        <is>
          <t>Signage</t>
        </is>
      </c>
      <c r="D47" s="2" t="n">
        <v>304</v>
      </c>
      <c r="E47" s="2" t="inlineStr">
        <is>
          <t>GL</t>
        </is>
      </c>
      <c r="F47" s="3" t="n">
        <v>5344.04</v>
      </c>
      <c r="G47" s="3">
        <f>D47*F47</f>
        <v/>
      </c>
      <c r="H47" s="2" t="inlineStr">
        <is>
          <t>Not Started</t>
        </is>
      </c>
      <c r="I47" s="2" t="inlineStr">
        <is>
          <t>JBL Professional</t>
        </is>
      </c>
      <c r="J47" s="2" t="inlineStr">
        <is>
          <t>PO-2026-0046</t>
        </is>
      </c>
      <c r="K47" s="4" t="n">
        <v>45878</v>
      </c>
      <c r="L47" s="4" t="n">
        <v>46033</v>
      </c>
      <c r="M47" s="2" t="inlineStr"/>
      <c r="N47" s="5">
        <f>L47-K47</f>
        <v/>
      </c>
      <c r="O47" s="5">
        <f>IF(M47&gt;"",IF(M47&gt;L47,M47-L47,0),"")</f>
        <v/>
      </c>
      <c r="P47" s="4" t="n">
        <v>46067</v>
      </c>
      <c r="Q47" s="2" t="inlineStr">
        <is>
          <t>Vendor</t>
        </is>
      </c>
      <c r="R47" s="2" t="inlineStr"/>
    </row>
    <row r="48">
      <c r="A48" s="2" t="n">
        <v>47</v>
      </c>
      <c r="B48" s="2" t="inlineStr">
        <is>
          <t>Retail merchandise fixtures</t>
        </is>
      </c>
      <c r="C48" s="2" t="inlineStr">
        <is>
          <t>Art/Decor</t>
        </is>
      </c>
      <c r="D48" s="2" t="n">
        <v>332</v>
      </c>
      <c r="E48" s="2" t="inlineStr">
        <is>
          <t>BOX</t>
        </is>
      </c>
      <c r="F48" s="3" t="n">
        <v>3329.57</v>
      </c>
      <c r="G48" s="3">
        <f>D48*F48</f>
        <v/>
      </c>
      <c r="H48" s="2" t="inlineStr">
        <is>
          <t>Complete</t>
        </is>
      </c>
      <c r="I48" s="2" t="inlineStr">
        <is>
          <t>Daktronics</t>
        </is>
      </c>
      <c r="J48" s="2" t="inlineStr">
        <is>
          <t>PO-2026-0047</t>
        </is>
      </c>
      <c r="K48" s="4" t="n">
        <v>45797</v>
      </c>
      <c r="L48" s="4" t="n">
        <v>45890</v>
      </c>
      <c r="M48" s="4" t="n">
        <v>45900</v>
      </c>
      <c r="N48" s="5">
        <f>L48-K48</f>
        <v/>
      </c>
      <c r="O48" s="5">
        <f>IF(M48&gt;"",IF(M48&gt;L48,M48-L48,0),"")</f>
        <v/>
      </c>
      <c r="P48" s="4" t="n">
        <v>45901</v>
      </c>
      <c r="Q48" s="2" t="inlineStr">
        <is>
          <t>GC</t>
        </is>
      </c>
      <c r="R48" s="2" t="inlineStr"/>
    </row>
    <row r="49">
      <c r="A49" s="2" t="n">
        <v>48</v>
      </c>
      <c r="B49" s="2" t="inlineStr">
        <is>
          <t>Parking lot lighting</t>
        </is>
      </c>
      <c r="C49" s="2" t="inlineStr">
        <is>
          <t>AV/Technology</t>
        </is>
      </c>
      <c r="D49" s="2" t="n">
        <v>284</v>
      </c>
      <c r="E49" s="2" t="inlineStr">
        <is>
          <t>EA</t>
        </is>
      </c>
      <c r="F49" s="3" t="n">
        <v>19447.37</v>
      </c>
      <c r="G49" s="3">
        <f>D49*F49</f>
        <v/>
      </c>
      <c r="H49" s="2" t="inlineStr">
        <is>
          <t>Shipped</t>
        </is>
      </c>
      <c r="I49" s="2" t="inlineStr">
        <is>
          <t>Eaton Corp</t>
        </is>
      </c>
      <c r="J49" s="2" t="inlineStr">
        <is>
          <t>PO-2026-0048</t>
        </is>
      </c>
      <c r="K49" s="4" t="n">
        <v>46067</v>
      </c>
      <c r="L49" s="4" t="n">
        <v>46194</v>
      </c>
      <c r="M49" s="2" t="inlineStr"/>
      <c r="N49" s="5">
        <f>L49-K49</f>
        <v/>
      </c>
      <c r="O49" s="5">
        <f>IF(M49&gt;"",IF(M49&gt;L49,M49-L49,0),"")</f>
        <v/>
      </c>
      <c r="P49" s="4" t="n">
        <v>46216</v>
      </c>
      <c r="Q49" s="2" t="inlineStr">
        <is>
          <t>GC</t>
        </is>
      </c>
      <c r="R49" s="2" t="inlineStr"/>
    </row>
    <row r="50">
      <c r="A50" s="2" t="n">
        <v>49</v>
      </c>
      <c r="B50" s="2" t="inlineStr">
        <is>
          <t>Entry turnstile system</t>
        </is>
      </c>
      <c r="C50" s="2" t="inlineStr">
        <is>
          <t>Textiles</t>
        </is>
      </c>
      <c r="D50" s="2" t="n">
        <v>295</v>
      </c>
      <c r="E50" s="2" t="inlineStr">
        <is>
          <t>UNIT</t>
        </is>
      </c>
      <c r="F50" s="3" t="n">
        <v>15815.85</v>
      </c>
      <c r="G50" s="3">
        <f>D50*F50</f>
        <v/>
      </c>
      <c r="H50" s="2" t="inlineStr">
        <is>
          <t>Not Started</t>
        </is>
      </c>
      <c r="I50" s="2" t="inlineStr">
        <is>
          <t>Booth &amp; Partners</t>
        </is>
      </c>
      <c r="J50" s="2" t="inlineStr">
        <is>
          <t>PO-2026-0049</t>
        </is>
      </c>
      <c r="K50" s="4" t="n">
        <v>45663</v>
      </c>
      <c r="L50" s="4" t="n">
        <v>45748</v>
      </c>
      <c r="M50" s="2" t="inlineStr"/>
      <c r="N50" s="5">
        <f>L50-K50</f>
        <v/>
      </c>
      <c r="O50" s="5">
        <f>IF(M50&gt;"",IF(M50&gt;L50,M50-L50,0),"")</f>
        <v/>
      </c>
      <c r="P50" s="4" t="n">
        <v>45786</v>
      </c>
      <c r="Q50" s="2" t="inlineStr">
        <is>
          <t>Owner</t>
        </is>
      </c>
      <c r="R50" s="2" t="inlineStr"/>
    </row>
    <row r="51">
      <c r="A51" s="2" t="n">
        <v>50</v>
      </c>
      <c r="B51" s="2" t="inlineStr">
        <is>
          <t>Hospitality carpet &amp; rugs</t>
        </is>
      </c>
      <c r="C51" s="2" t="inlineStr">
        <is>
          <t>OS&amp;E</t>
        </is>
      </c>
      <c r="D51" s="2" t="n">
        <v>246</v>
      </c>
      <c r="E51" s="2" t="inlineStr">
        <is>
          <t>EA</t>
        </is>
      </c>
      <c r="F51" s="3" t="n">
        <v>8547.860000000001</v>
      </c>
      <c r="G51" s="3">
        <f>D51*F51</f>
        <v/>
      </c>
      <c r="H51" s="2" t="inlineStr">
        <is>
          <t>Installed</t>
        </is>
      </c>
      <c r="I51" s="2" t="inlineStr">
        <is>
          <t>True Refrigeration</t>
        </is>
      </c>
      <c r="J51" s="2" t="inlineStr">
        <is>
          <t>PO-2026-0050</t>
        </is>
      </c>
      <c r="K51" s="4" t="n">
        <v>46026</v>
      </c>
      <c r="L51" s="4" t="n">
        <v>46090</v>
      </c>
      <c r="M51" s="4" t="n">
        <v>46107</v>
      </c>
      <c r="N51" s="5">
        <f>L51-K51</f>
        <v/>
      </c>
      <c r="O51" s="5">
        <f>IF(M51&gt;"",IF(M51&gt;L51,M51-L51,0),"")</f>
        <v/>
      </c>
      <c r="P51" s="4" t="n">
        <v>46133</v>
      </c>
      <c r="Q51" s="2" t="inlineStr">
        <is>
          <t>Owner</t>
        </is>
      </c>
      <c r="R51" s="2" t="inlineStr"/>
    </row>
    <row r="52">
      <c r="A52" s="2" t="n">
        <v>51</v>
      </c>
      <c r="B52" s="2" t="inlineStr">
        <is>
          <t>Team meeting room tables</t>
        </is>
      </c>
      <c r="C52" s="2" t="inlineStr">
        <is>
          <t>Kitchen/F&amp;B</t>
        </is>
      </c>
      <c r="D52" s="2" t="n">
        <v>330</v>
      </c>
      <c r="E52" s="2" t="inlineStr">
        <is>
          <t>YD</t>
        </is>
      </c>
      <c r="F52" s="3" t="n">
        <v>20250.03</v>
      </c>
      <c r="G52" s="3">
        <f>D52*F52</f>
        <v/>
      </c>
      <c r="H52" s="2" t="inlineStr">
        <is>
          <t>Ordered</t>
        </is>
      </c>
      <c r="I52" s="2" t="inlineStr">
        <is>
          <t>Daktronics</t>
        </is>
      </c>
      <c r="J52" s="2" t="inlineStr">
        <is>
          <t>PO-2026-0051</t>
        </is>
      </c>
      <c r="K52" s="4" t="n">
        <v>45833</v>
      </c>
      <c r="L52" s="4" t="n">
        <v>45931</v>
      </c>
      <c r="M52" s="2" t="inlineStr"/>
      <c r="N52" s="5">
        <f>L52-K52</f>
        <v/>
      </c>
      <c r="O52" s="5">
        <f>IF(M52&gt;"",IF(M52&gt;L52,M52-L52,0),"")</f>
        <v/>
      </c>
      <c r="P52" s="4" t="n">
        <v>45976</v>
      </c>
      <c r="Q52" s="2" t="inlineStr">
        <is>
          <t>GC</t>
        </is>
      </c>
      <c r="R52" s="2" t="inlineStr"/>
    </row>
    <row r="53">
      <c r="A53" s="2" t="n">
        <v>52</v>
      </c>
      <c r="B53" s="2" t="inlineStr">
        <is>
          <t>Dishwasher - commercial</t>
        </is>
      </c>
      <c r="C53" s="2" t="inlineStr">
        <is>
          <t>Uniforms</t>
        </is>
      </c>
      <c r="D53" s="2" t="n">
        <v>487</v>
      </c>
      <c r="E53" s="2" t="inlineStr">
        <is>
          <t>UNIT</t>
        </is>
      </c>
      <c r="F53" s="3" t="n">
        <v>1200.9</v>
      </c>
      <c r="G53" s="3">
        <f>D53*F53</f>
        <v/>
      </c>
      <c r="H53" s="2" t="inlineStr">
        <is>
          <t>Received</t>
        </is>
      </c>
      <c r="I53" s="2" t="inlineStr">
        <is>
          <t>Booth &amp; Partners</t>
        </is>
      </c>
      <c r="J53" s="2" t="inlineStr">
        <is>
          <t>PO-2026-0052</t>
        </is>
      </c>
      <c r="K53" s="4" t="n">
        <v>45916</v>
      </c>
      <c r="L53" s="4" t="n">
        <v>45958</v>
      </c>
      <c r="M53" s="4" t="n">
        <v>45977</v>
      </c>
      <c r="N53" s="5">
        <f>L53-K53</f>
        <v/>
      </c>
      <c r="O53" s="5">
        <f>IF(M53&gt;"",IF(M53&gt;L53,M53-L53,0),"")</f>
        <v/>
      </c>
      <c r="P53" s="4" t="n">
        <v>45996</v>
      </c>
      <c r="Q53" s="2" t="inlineStr">
        <is>
          <t>GC</t>
        </is>
      </c>
      <c r="R53" s="2" t="inlineStr"/>
    </row>
    <row r="54">
      <c r="A54" s="2" t="n">
        <v>53</v>
      </c>
      <c r="B54" s="2" t="inlineStr">
        <is>
          <t>LED ribbon board</t>
        </is>
      </c>
      <c r="C54" s="2" t="inlineStr">
        <is>
          <t>Textiles</t>
        </is>
      </c>
      <c r="D54" s="2" t="n">
        <v>138</v>
      </c>
      <c r="E54" s="2" t="inlineStr">
        <is>
          <t>LF</t>
        </is>
      </c>
      <c r="F54" s="3" t="n">
        <v>11227.25</v>
      </c>
      <c r="G54" s="3">
        <f>D54*F54</f>
        <v/>
      </c>
      <c r="H54" s="2" t="inlineStr">
        <is>
          <t>Installed</t>
        </is>
      </c>
      <c r="I54" s="2" t="inlineStr">
        <is>
          <t>Samsung Display</t>
        </is>
      </c>
      <c r="J54" s="2" t="inlineStr">
        <is>
          <t>PO-2026-0053</t>
        </is>
      </c>
      <c r="K54" s="4" t="n">
        <v>46027</v>
      </c>
      <c r="L54" s="4" t="n">
        <v>46106</v>
      </c>
      <c r="M54" s="4" t="n">
        <v>46124</v>
      </c>
      <c r="N54" s="5">
        <f>L54-K54</f>
        <v/>
      </c>
      <c r="O54" s="5">
        <f>IF(M54&gt;"",IF(M54&gt;L54,M54-L54,0),"")</f>
        <v/>
      </c>
      <c r="P54" s="4" t="n">
        <v>46128</v>
      </c>
      <c r="Q54" s="2" t="inlineStr">
        <is>
          <t>GC</t>
        </is>
      </c>
      <c r="R54" s="2" t="inlineStr"/>
    </row>
    <row r="55">
      <c r="A55" s="2" t="n">
        <v>54</v>
      </c>
      <c r="B55" s="2" t="inlineStr">
        <is>
          <t>Office cubicle systems</t>
        </is>
      </c>
      <c r="C55" s="2" t="inlineStr">
        <is>
          <t>Equipment</t>
        </is>
      </c>
      <c r="D55" s="2" t="n">
        <v>75</v>
      </c>
      <c r="E55" s="2" t="inlineStr">
        <is>
          <t>GL</t>
        </is>
      </c>
      <c r="F55" s="3" t="n">
        <v>10989.7</v>
      </c>
      <c r="G55" s="3">
        <f>D55*F55</f>
        <v/>
      </c>
      <c r="H55" s="2" t="inlineStr">
        <is>
          <t>Shipped</t>
        </is>
      </c>
      <c r="I55" s="2" t="inlineStr">
        <is>
          <t>Samsung Display</t>
        </is>
      </c>
      <c r="J55" s="2" t="inlineStr">
        <is>
          <t>PO-2026-0054</t>
        </is>
      </c>
      <c r="K55" s="4" t="n">
        <v>45950</v>
      </c>
      <c r="L55" s="4" t="n">
        <v>46003</v>
      </c>
      <c r="M55" s="2" t="inlineStr"/>
      <c r="N55" s="5">
        <f>L55-K55</f>
        <v/>
      </c>
      <c r="O55" s="5">
        <f>IF(M55&gt;"",IF(M55&gt;L55,M55-L55,0),"")</f>
        <v/>
      </c>
      <c r="P55" s="4" t="n">
        <v>46045</v>
      </c>
      <c r="Q55" s="2" t="inlineStr">
        <is>
          <t>GC</t>
        </is>
      </c>
      <c r="R55" s="2" t="inlineStr"/>
    </row>
    <row r="56">
      <c r="A56" s="2" t="n">
        <v>55</v>
      </c>
      <c r="B56" s="2" t="inlineStr">
        <is>
          <t>Stadium chairback seats</t>
        </is>
      </c>
      <c r="C56" s="2" t="inlineStr">
        <is>
          <t>Furniture</t>
        </is>
      </c>
      <c r="D56" s="2" t="n">
        <v>230</v>
      </c>
      <c r="E56" s="2" t="inlineStr">
        <is>
          <t>BOX</t>
        </is>
      </c>
      <c r="F56" s="3" t="n">
        <v>920.74</v>
      </c>
      <c r="G56" s="3">
        <f>D56*F56</f>
        <v/>
      </c>
      <c r="H56" s="2" t="inlineStr">
        <is>
          <t>Not Started</t>
        </is>
      </c>
      <c r="I56" s="2" t="inlineStr">
        <is>
          <t>Honeywell Building</t>
        </is>
      </c>
      <c r="J56" s="2" t="inlineStr">
        <is>
          <t>PO-2026-0055</t>
        </is>
      </c>
      <c r="K56" s="4" t="n">
        <v>45981</v>
      </c>
      <c r="L56" s="4" t="n">
        <v>46049</v>
      </c>
      <c r="M56" s="2" t="inlineStr"/>
      <c r="N56" s="5">
        <f>L56-K56</f>
        <v/>
      </c>
      <c r="O56" s="5">
        <f>IF(M56&gt;"",IF(M56&gt;L56,M56-L56,0),"")</f>
        <v/>
      </c>
      <c r="P56" s="4" t="n">
        <v>46067</v>
      </c>
      <c r="Q56" s="2" t="inlineStr">
        <is>
          <t>Vendor</t>
        </is>
      </c>
      <c r="R56" s="2" t="inlineStr">
        <is>
          <t>Notes for item 55</t>
        </is>
      </c>
    </row>
    <row r="57">
      <c r="A57" s="2" t="n">
        <v>56</v>
      </c>
      <c r="B57" s="2" t="inlineStr">
        <is>
          <t>Kitchen storage racks</t>
        </is>
      </c>
      <c r="C57" s="2" t="inlineStr">
        <is>
          <t>Signage</t>
        </is>
      </c>
      <c r="D57" s="2" t="n">
        <v>190</v>
      </c>
      <c r="E57" s="2" t="inlineStr">
        <is>
          <t>RL</t>
        </is>
      </c>
      <c r="F57" s="3" t="n">
        <v>7431.62</v>
      </c>
      <c r="G57" s="3">
        <f>D57*F57</f>
        <v/>
      </c>
      <c r="H57" s="2" t="inlineStr">
        <is>
          <t>Received</t>
        </is>
      </c>
      <c r="I57" s="2" t="inlineStr">
        <is>
          <t>Sysco Equipment</t>
        </is>
      </c>
      <c r="J57" s="2" t="inlineStr">
        <is>
          <t>PO-2026-0056</t>
        </is>
      </c>
      <c r="K57" s="4" t="n">
        <v>45793</v>
      </c>
      <c r="L57" s="4" t="n">
        <v>45868</v>
      </c>
      <c r="M57" s="4" t="n">
        <v>45873</v>
      </c>
      <c r="N57" s="5">
        <f>L57-K57</f>
        <v/>
      </c>
      <c r="O57" s="5">
        <f>IF(M57&gt;"",IF(M57&gt;L57,M57-L57,0),"")</f>
        <v/>
      </c>
      <c r="P57" s="4" t="n">
        <v>45881</v>
      </c>
      <c r="Q57" s="2" t="inlineStr">
        <is>
          <t>Vendor</t>
        </is>
      </c>
      <c r="R57" s="2" t="inlineStr"/>
    </row>
    <row r="58">
      <c r="A58" s="2" t="n">
        <v>57</v>
      </c>
      <c r="B58" s="2" t="inlineStr">
        <is>
          <t>WiFi access points</t>
        </is>
      </c>
      <c r="C58" s="2" t="inlineStr">
        <is>
          <t>Furniture</t>
        </is>
      </c>
      <c r="D58" s="2" t="n">
        <v>308</v>
      </c>
      <c r="E58" s="2" t="inlineStr">
        <is>
          <t>BOX</t>
        </is>
      </c>
      <c r="F58" s="3" t="n">
        <v>11056.27</v>
      </c>
      <c r="G58" s="3">
        <f>D58*F58</f>
        <v/>
      </c>
      <c r="H58" s="2" t="inlineStr">
        <is>
          <t>Installed</t>
        </is>
      </c>
      <c r="I58" s="2" t="inlineStr">
        <is>
          <t>Philips Lighting</t>
        </is>
      </c>
      <c r="J58" s="2" t="inlineStr">
        <is>
          <t>PO-2026-0057</t>
        </is>
      </c>
      <c r="K58" s="4" t="n">
        <v>46110</v>
      </c>
      <c r="L58" s="4" t="n">
        <v>46215</v>
      </c>
      <c r="M58" s="4" t="n">
        <v>46231</v>
      </c>
      <c r="N58" s="5">
        <f>L58-K58</f>
        <v/>
      </c>
      <c r="O58" s="5">
        <f>IF(M58&gt;"",IF(M58&gt;L58,M58-L58,0),"")</f>
        <v/>
      </c>
      <c r="P58" s="4" t="n">
        <v>46245</v>
      </c>
      <c r="Q58" s="2" t="inlineStr">
        <is>
          <t>Vendor</t>
        </is>
      </c>
      <c r="R58" s="2" t="inlineStr"/>
    </row>
    <row r="59">
      <c r="A59" s="2" t="n">
        <v>58</v>
      </c>
      <c r="B59" s="2" t="inlineStr">
        <is>
          <t>Locker room mirrors</t>
        </is>
      </c>
      <c r="C59" s="2" t="inlineStr">
        <is>
          <t>Art/Decor</t>
        </is>
      </c>
      <c r="D59" s="2" t="n">
        <v>109</v>
      </c>
      <c r="E59" s="2" t="inlineStr">
        <is>
          <t>GL</t>
        </is>
      </c>
      <c r="F59" s="3" t="n">
        <v>15502.29</v>
      </c>
      <c r="G59" s="3">
        <f>D59*F59</f>
        <v/>
      </c>
      <c r="H59" s="2" t="inlineStr">
        <is>
          <t>Received</t>
        </is>
      </c>
      <c r="I59" s="2" t="inlineStr">
        <is>
          <t>Booth &amp; Partners</t>
        </is>
      </c>
      <c r="J59" s="2" t="inlineStr">
        <is>
          <t>PO-2026-0058</t>
        </is>
      </c>
      <c r="K59" s="4" t="n">
        <v>46083</v>
      </c>
      <c r="L59" s="4" t="n">
        <v>46178</v>
      </c>
      <c r="M59" s="4" t="n">
        <v>46175</v>
      </c>
      <c r="N59" s="5">
        <f>L59-K59</f>
        <v/>
      </c>
      <c r="O59" s="5">
        <f>IF(M59&gt;"",IF(M59&gt;L59,M59-L59,0),"")</f>
        <v/>
      </c>
      <c r="P59" s="4" t="n">
        <v>46204</v>
      </c>
      <c r="Q59" s="2" t="inlineStr">
        <is>
          <t>Vendor</t>
        </is>
      </c>
      <c r="R59" s="2" t="inlineStr">
        <is>
          <t>Notes for item 58</t>
        </is>
      </c>
    </row>
    <row r="60">
      <c r="A60" s="2" t="n">
        <v>59</v>
      </c>
      <c r="B60" s="2" t="inlineStr">
        <is>
          <t>Field goal posts</t>
        </is>
      </c>
      <c r="C60" s="2" t="inlineStr">
        <is>
          <t>Uniforms</t>
        </is>
      </c>
      <c r="D60" s="2" t="n">
        <v>138</v>
      </c>
      <c r="E60" s="2" t="inlineStr">
        <is>
          <t>LF</t>
        </is>
      </c>
      <c r="F60" s="3" t="n">
        <v>23825.59</v>
      </c>
      <c r="G60" s="3">
        <f>D60*F60</f>
        <v/>
      </c>
      <c r="H60" s="2" t="inlineStr">
        <is>
          <t>Complete</t>
        </is>
      </c>
      <c r="I60" s="2" t="inlineStr">
        <is>
          <t>ASM Global</t>
        </is>
      </c>
      <c r="J60" s="2" t="inlineStr">
        <is>
          <t>PO-2026-0059</t>
        </is>
      </c>
      <c r="K60" s="4" t="n">
        <v>45759</v>
      </c>
      <c r="L60" s="4" t="n">
        <v>45825</v>
      </c>
      <c r="M60" s="4" t="n">
        <v>45824</v>
      </c>
      <c r="N60" s="5">
        <f>L60-K60</f>
        <v/>
      </c>
      <c r="O60" s="5">
        <f>IF(M60&gt;"",IF(M60&gt;L60,M60-L60,0),"")</f>
        <v/>
      </c>
      <c r="P60" s="4" t="n">
        <v>45863</v>
      </c>
      <c r="Q60" s="2" t="inlineStr">
        <is>
          <t>Vendor</t>
        </is>
      </c>
      <c r="R60" s="2" t="inlineStr">
        <is>
          <t>Notes for item 59</t>
        </is>
      </c>
    </row>
    <row r="61">
      <c r="A61" s="2" t="n">
        <v>60</v>
      </c>
      <c r="B61" s="2" t="inlineStr">
        <is>
          <t>Concession warmers</t>
        </is>
      </c>
      <c r="C61" s="2" t="inlineStr">
        <is>
          <t>Art/Decor</t>
        </is>
      </c>
      <c r="D61" s="2" t="n">
        <v>466</v>
      </c>
      <c r="E61" s="2" t="inlineStr">
        <is>
          <t>BOX</t>
        </is>
      </c>
      <c r="F61" s="3" t="n">
        <v>5235.05</v>
      </c>
      <c r="G61" s="3">
        <f>D61*F61</f>
        <v/>
      </c>
      <c r="H61" s="2" t="inlineStr">
        <is>
          <t>Complete</t>
        </is>
      </c>
      <c r="I61" s="2" t="inlineStr">
        <is>
          <t>Daktronics</t>
        </is>
      </c>
      <c r="J61" s="2" t="inlineStr">
        <is>
          <t>PO-2026-0060</t>
        </is>
      </c>
      <c r="K61" s="4" t="n">
        <v>45792</v>
      </c>
      <c r="L61" s="4" t="n">
        <v>45837</v>
      </c>
      <c r="M61" s="4" t="n">
        <v>45836</v>
      </c>
      <c r="N61" s="5">
        <f>L61-K61</f>
        <v/>
      </c>
      <c r="O61" s="5">
        <f>IF(M61&gt;"",IF(M61&gt;L61,M61-L61,0),"")</f>
        <v/>
      </c>
      <c r="P61" s="4" t="n">
        <v>45875</v>
      </c>
      <c r="Q61" s="2" t="inlineStr">
        <is>
          <t>Vendor</t>
        </is>
      </c>
      <c r="R61" s="2" t="inlineStr"/>
    </row>
    <row r="62">
      <c r="A62" s="2" t="n">
        <v>61</v>
      </c>
      <c r="B62" s="2" t="inlineStr">
        <is>
          <t>Lobby reception desk</t>
        </is>
      </c>
      <c r="C62" s="2" t="inlineStr">
        <is>
          <t>Furniture</t>
        </is>
      </c>
      <c r="D62" s="2" t="n">
        <v>225</v>
      </c>
      <c r="E62" s="2" t="inlineStr">
        <is>
          <t>SF</t>
        </is>
      </c>
      <c r="F62" s="3" t="n">
        <v>1947.14</v>
      </c>
      <c r="G62" s="3">
        <f>D62*F62</f>
        <v/>
      </c>
      <c r="H62" s="2" t="inlineStr">
        <is>
          <t>Ordered</t>
        </is>
      </c>
      <c r="I62" s="2" t="inlineStr">
        <is>
          <t>JBL Professional</t>
        </is>
      </c>
      <c r="J62" s="2" t="inlineStr">
        <is>
          <t>PO-2026-0061</t>
        </is>
      </c>
      <c r="K62" s="4" t="n">
        <v>46023</v>
      </c>
      <c r="L62" s="4" t="n">
        <v>46118</v>
      </c>
      <c r="M62" s="2" t="inlineStr"/>
      <c r="N62" s="5">
        <f>L62-K62</f>
        <v/>
      </c>
      <c r="O62" s="5">
        <f>IF(M62&gt;"",IF(M62&gt;L62,M62-L62,0),"")</f>
        <v/>
      </c>
      <c r="P62" s="4" t="n">
        <v>46135</v>
      </c>
      <c r="Q62" s="2" t="inlineStr">
        <is>
          <t>Vendor</t>
        </is>
      </c>
      <c r="R62" s="2" t="inlineStr">
        <is>
          <t>Notes for item 61</t>
        </is>
      </c>
    </row>
    <row r="63">
      <c r="A63" s="2" t="n">
        <v>62</v>
      </c>
      <c r="B63" s="2" t="inlineStr">
        <is>
          <t>Drapes &amp; window treatments</t>
        </is>
      </c>
      <c r="C63" s="2" t="inlineStr">
        <is>
          <t>Signage</t>
        </is>
      </c>
      <c r="D63" s="2" t="n">
        <v>487</v>
      </c>
      <c r="E63" s="2" t="inlineStr">
        <is>
          <t>PR</t>
        </is>
      </c>
      <c r="F63" s="3" t="n">
        <v>14202.24</v>
      </c>
      <c r="G63" s="3">
        <f>D63*F63</f>
        <v/>
      </c>
      <c r="H63" s="2" t="inlineStr">
        <is>
          <t>Not Started</t>
        </is>
      </c>
      <c r="I63" s="2" t="inlineStr">
        <is>
          <t>ASM Global</t>
        </is>
      </c>
      <c r="J63" s="2" t="inlineStr">
        <is>
          <t>PO-2026-0062</t>
        </is>
      </c>
      <c r="K63" s="4" t="n">
        <v>45949</v>
      </c>
      <c r="L63" s="4" t="n">
        <v>45978</v>
      </c>
      <c r="M63" s="2" t="inlineStr"/>
      <c r="N63" s="5">
        <f>L63-K63</f>
        <v/>
      </c>
      <c r="O63" s="5">
        <f>IF(M63&gt;"",IF(M63&gt;L63,M63-L63,0),"")</f>
        <v/>
      </c>
      <c r="P63" s="4" t="n">
        <v>46010</v>
      </c>
      <c r="Q63" s="2" t="inlineStr">
        <is>
          <t>GC</t>
        </is>
      </c>
      <c r="R63" s="2" t="inlineStr"/>
    </row>
    <row r="64">
      <c r="A64" s="2" t="n">
        <v>63</v>
      </c>
      <c r="B64" s="2" t="inlineStr">
        <is>
          <t>Athletic field paint</t>
        </is>
      </c>
      <c r="C64" s="2" t="inlineStr">
        <is>
          <t>Textiles</t>
        </is>
      </c>
      <c r="D64" s="2" t="n">
        <v>82</v>
      </c>
      <c r="E64" s="2" t="inlineStr">
        <is>
          <t>YD</t>
        </is>
      </c>
      <c r="F64" s="3" t="n">
        <v>20873.39</v>
      </c>
      <c r="G64" s="3">
        <f>D64*F64</f>
        <v/>
      </c>
      <c r="H64" s="2" t="inlineStr">
        <is>
          <t>Received</t>
        </is>
      </c>
      <c r="I64" s="2" t="inlineStr">
        <is>
          <t>Booth &amp; Partners</t>
        </is>
      </c>
      <c r="J64" s="2" t="inlineStr">
        <is>
          <t>PO-2026-0063</t>
        </is>
      </c>
      <c r="K64" s="4" t="n">
        <v>46052</v>
      </c>
      <c r="L64" s="4" t="n">
        <v>46161</v>
      </c>
      <c r="M64" s="4" t="n">
        <v>46167</v>
      </c>
      <c r="N64" s="5">
        <f>L64-K64</f>
        <v/>
      </c>
      <c r="O64" s="5">
        <f>IF(M64&gt;"",IF(M64&gt;L64,M64-L64,0),"")</f>
        <v/>
      </c>
      <c r="P64" s="4" t="n">
        <v>46186</v>
      </c>
      <c r="Q64" s="2" t="inlineStr">
        <is>
          <t>Owner</t>
        </is>
      </c>
      <c r="R64" s="2" t="inlineStr"/>
    </row>
    <row r="65">
      <c r="A65" s="2" t="n">
        <v>64</v>
      </c>
      <c r="B65" s="2" t="inlineStr">
        <is>
          <t>Player recovery equipment</t>
        </is>
      </c>
      <c r="C65" s="2" t="inlineStr">
        <is>
          <t>Art/Decor</t>
        </is>
      </c>
      <c r="D65" s="2" t="n">
        <v>147</v>
      </c>
      <c r="E65" s="2" t="inlineStr">
        <is>
          <t>GL</t>
        </is>
      </c>
      <c r="F65" s="3" t="n">
        <v>17907.15</v>
      </c>
      <c r="G65" s="3">
        <f>D65*F65</f>
        <v/>
      </c>
      <c r="H65" s="2" t="inlineStr">
        <is>
          <t>Complete</t>
        </is>
      </c>
      <c r="I65" s="2" t="inlineStr">
        <is>
          <t>Steelcase Inc.</t>
        </is>
      </c>
      <c r="J65" s="2" t="inlineStr">
        <is>
          <t>PO-2026-0064</t>
        </is>
      </c>
      <c r="K65" s="4" t="n">
        <v>45809</v>
      </c>
      <c r="L65" s="4" t="n">
        <v>45971</v>
      </c>
      <c r="M65" s="4" t="n">
        <v>45965</v>
      </c>
      <c r="N65" s="5">
        <f>L65-K65</f>
        <v/>
      </c>
      <c r="O65" s="5">
        <f>IF(M65&gt;"",IF(M65&gt;L65,M65-L65,0),"")</f>
        <v/>
      </c>
      <c r="P65" s="4" t="n">
        <v>46015</v>
      </c>
      <c r="Q65" s="2" t="inlineStr">
        <is>
          <t>Vendor</t>
        </is>
      </c>
      <c r="R65" s="2" t="inlineStr"/>
    </row>
    <row r="66">
      <c r="A66" s="2" t="n">
        <v>65</v>
      </c>
      <c r="B66" s="2" t="inlineStr">
        <is>
          <t>Video wall displays</t>
        </is>
      </c>
      <c r="C66" s="2" t="inlineStr">
        <is>
          <t>Equipment</t>
        </is>
      </c>
      <c r="D66" s="2" t="n">
        <v>200</v>
      </c>
      <c r="E66" s="2" t="inlineStr">
        <is>
          <t>GL</t>
        </is>
      </c>
      <c r="F66" s="3" t="n">
        <v>17808.42</v>
      </c>
      <c r="G66" s="3">
        <f>D66*F66</f>
        <v/>
      </c>
      <c r="H66" s="2" t="inlineStr">
        <is>
          <t>Not Started</t>
        </is>
      </c>
      <c r="I66" s="2" t="inlineStr">
        <is>
          <t>Honeywell Building</t>
        </is>
      </c>
      <c r="J66" s="2" t="inlineStr">
        <is>
          <t>PO-2026-0065</t>
        </is>
      </c>
      <c r="K66" s="4" t="n">
        <v>45881</v>
      </c>
      <c r="L66" s="4" t="n">
        <v>46024</v>
      </c>
      <c r="M66" s="2" t="inlineStr"/>
      <c r="N66" s="5">
        <f>L66-K66</f>
        <v/>
      </c>
      <c r="O66" s="5">
        <f>IF(M66&gt;"",IF(M66&gt;L66,M66-L66,0),"")</f>
        <v/>
      </c>
      <c r="P66" s="4" t="n">
        <v>46058</v>
      </c>
      <c r="Q66" s="2" t="inlineStr">
        <is>
          <t>Vendor</t>
        </is>
      </c>
      <c r="R66" s="2" t="inlineStr"/>
    </row>
    <row r="67">
      <c r="A67" s="2" t="n">
        <v>66</v>
      </c>
      <c r="B67" s="2" t="inlineStr">
        <is>
          <t>Bar glassware &amp; smallware</t>
        </is>
      </c>
      <c r="C67" s="2" t="inlineStr">
        <is>
          <t>Furniture</t>
        </is>
      </c>
      <c r="D67" s="2" t="n">
        <v>452</v>
      </c>
      <c r="E67" s="2" t="inlineStr">
        <is>
          <t>GL</t>
        </is>
      </c>
      <c r="F67" s="3" t="n">
        <v>13211.4</v>
      </c>
      <c r="G67" s="3">
        <f>D67*F67</f>
        <v/>
      </c>
      <c r="H67" s="2" t="inlineStr">
        <is>
          <t>Installed</t>
        </is>
      </c>
      <c r="I67" s="2" t="inlineStr">
        <is>
          <t>GE Current</t>
        </is>
      </c>
      <c r="J67" s="2" t="inlineStr">
        <is>
          <t>PO-2026-0066</t>
        </is>
      </c>
      <c r="K67" s="4" t="n">
        <v>45939</v>
      </c>
      <c r="L67" s="4" t="n">
        <v>45979</v>
      </c>
      <c r="M67" s="4" t="n">
        <v>45987</v>
      </c>
      <c r="N67" s="5">
        <f>L67-K67</f>
        <v/>
      </c>
      <c r="O67" s="5">
        <f>IF(M67&gt;"",IF(M67&gt;L67,M67-L67,0),"")</f>
        <v/>
      </c>
      <c r="P67" s="4" t="n">
        <v>46009</v>
      </c>
      <c r="Q67" s="2" t="inlineStr">
        <is>
          <t>Owner</t>
        </is>
      </c>
      <c r="R67" s="2" t="inlineStr">
        <is>
          <t>Notes for item 66</t>
        </is>
      </c>
    </row>
    <row r="68">
      <c r="A68" s="2" t="n">
        <v>67</v>
      </c>
      <c r="B68" s="2" t="inlineStr">
        <is>
          <t>Acoustic wall panels</t>
        </is>
      </c>
      <c r="C68" s="2" t="inlineStr">
        <is>
          <t>Signage</t>
        </is>
      </c>
      <c r="D68" s="2" t="n">
        <v>100</v>
      </c>
      <c r="E68" s="2" t="inlineStr">
        <is>
          <t>UNIT</t>
        </is>
      </c>
      <c r="F68" s="3" t="n">
        <v>23905.34</v>
      </c>
      <c r="G68" s="3">
        <f>D68*F68</f>
        <v/>
      </c>
      <c r="H68" s="2" t="inlineStr">
        <is>
          <t>Not Started</t>
        </is>
      </c>
      <c r="I68" s="2" t="inlineStr">
        <is>
          <t>Philips Lighting</t>
        </is>
      </c>
      <c r="J68" s="2" t="inlineStr">
        <is>
          <t>PO-2026-0067</t>
        </is>
      </c>
      <c r="K68" s="4" t="n">
        <v>45983</v>
      </c>
      <c r="L68" s="4" t="n">
        <v>46139</v>
      </c>
      <c r="M68" s="2" t="inlineStr"/>
      <c r="N68" s="5">
        <f>L68-K68</f>
        <v/>
      </c>
      <c r="O68" s="5">
        <f>IF(M68&gt;"",IF(M68&gt;L68,M68-L68,0),"")</f>
        <v/>
      </c>
      <c r="P68" s="4" t="n">
        <v>46180</v>
      </c>
      <c r="Q68" s="2" t="inlineStr">
        <is>
          <t>GC</t>
        </is>
      </c>
      <c r="R68" s="2" t="inlineStr">
        <is>
          <t>Notes for item 67</t>
        </is>
      </c>
    </row>
    <row r="69">
      <c r="A69" s="2" t="n">
        <v>68</v>
      </c>
      <c r="B69" s="2" t="inlineStr">
        <is>
          <t>Uniform storage cabinets</t>
        </is>
      </c>
      <c r="C69" s="2" t="inlineStr">
        <is>
          <t>OS&amp;E</t>
        </is>
      </c>
      <c r="D69" s="2" t="n">
        <v>253</v>
      </c>
      <c r="E69" s="2" t="inlineStr">
        <is>
          <t>SF</t>
        </is>
      </c>
      <c r="F69" s="3" t="n">
        <v>16118.94</v>
      </c>
      <c r="G69" s="3">
        <f>D69*F69</f>
        <v/>
      </c>
      <c r="H69" s="2" t="inlineStr">
        <is>
          <t>Not Started</t>
        </is>
      </c>
      <c r="I69" s="2" t="inlineStr">
        <is>
          <t>Bose Pro</t>
        </is>
      </c>
      <c r="J69" s="2" t="inlineStr">
        <is>
          <t>PO-2026-0068</t>
        </is>
      </c>
      <c r="K69" s="4" t="n">
        <v>45798</v>
      </c>
      <c r="L69" s="4" t="n">
        <v>45823</v>
      </c>
      <c r="M69" s="2" t="inlineStr"/>
      <c r="N69" s="5">
        <f>L69-K69</f>
        <v/>
      </c>
      <c r="O69" s="5">
        <f>IF(M69&gt;"",IF(M69&gt;L69,M69-L69,0),"")</f>
        <v/>
      </c>
      <c r="P69" s="4" t="n">
        <v>45831</v>
      </c>
      <c r="Q69" s="2" t="inlineStr">
        <is>
          <t>GC</t>
        </is>
      </c>
      <c r="R69" s="2" t="inlineStr"/>
    </row>
    <row r="70">
      <c r="A70" s="2" t="n">
        <v>69</v>
      </c>
      <c r="B70" s="2" t="inlineStr">
        <is>
          <t>Concession beverage dispensers</t>
        </is>
      </c>
      <c r="C70" s="2" t="inlineStr">
        <is>
          <t>Art/Decor</t>
        </is>
      </c>
      <c r="D70" s="2" t="n">
        <v>236</v>
      </c>
      <c r="E70" s="2" t="inlineStr">
        <is>
          <t>BOX</t>
        </is>
      </c>
      <c r="F70" s="3" t="n">
        <v>21133.48</v>
      </c>
      <c r="G70" s="3">
        <f>D70*F70</f>
        <v/>
      </c>
      <c r="H70" s="2" t="inlineStr">
        <is>
          <t>Not Started</t>
        </is>
      </c>
      <c r="I70" s="2" t="inlineStr">
        <is>
          <t>GE Current</t>
        </is>
      </c>
      <c r="J70" s="2" t="inlineStr">
        <is>
          <t>PO-2026-0069</t>
        </is>
      </c>
      <c r="K70" s="4" t="n">
        <v>45974</v>
      </c>
      <c r="L70" s="4" t="n">
        <v>46145</v>
      </c>
      <c r="M70" s="2" t="inlineStr"/>
      <c r="N70" s="5">
        <f>L70-K70</f>
        <v/>
      </c>
      <c r="O70" s="5">
        <f>IF(M70&gt;"",IF(M70&gt;L70,M70-L70,0),"")</f>
        <v/>
      </c>
      <c r="P70" s="4" t="n">
        <v>46190</v>
      </c>
      <c r="Q70" s="2" t="inlineStr">
        <is>
          <t>GC</t>
        </is>
      </c>
      <c r="R70" s="2" t="inlineStr">
        <is>
          <t>Notes for item 69</t>
        </is>
      </c>
    </row>
    <row r="71">
      <c r="A71" s="2" t="n">
        <v>70</v>
      </c>
      <c r="B71" s="2" t="inlineStr">
        <is>
          <t>Entry gate hardware</t>
        </is>
      </c>
      <c r="C71" s="2" t="inlineStr">
        <is>
          <t>Art/Decor</t>
        </is>
      </c>
      <c r="D71" s="2" t="n">
        <v>51</v>
      </c>
      <c r="E71" s="2" t="inlineStr">
        <is>
          <t>BOX</t>
        </is>
      </c>
      <c r="F71" s="3" t="n">
        <v>7451.58</v>
      </c>
      <c r="G71" s="3">
        <f>D71*F71</f>
        <v/>
      </c>
      <c r="H71" s="2" t="inlineStr">
        <is>
          <t>Ordered</t>
        </is>
      </c>
      <c r="I71" s="2" t="inlineStr">
        <is>
          <t>GE Current</t>
        </is>
      </c>
      <c r="J71" s="2" t="inlineStr">
        <is>
          <t>PO-2026-0070</t>
        </is>
      </c>
      <c r="K71" s="4" t="n">
        <v>45924</v>
      </c>
      <c r="L71" s="4" t="n">
        <v>46067</v>
      </c>
      <c r="M71" s="2" t="inlineStr"/>
      <c r="N71" s="5">
        <f>L71-K71</f>
        <v/>
      </c>
      <c r="O71" s="5">
        <f>IF(M71&gt;"",IF(M71&gt;L71,M71-L71,0),"")</f>
        <v/>
      </c>
      <c r="P71" s="4" t="n">
        <v>46108</v>
      </c>
      <c r="Q71" s="2" t="inlineStr">
        <is>
          <t>Owner</t>
        </is>
      </c>
      <c r="R71" s="2" t="inlineStr"/>
    </row>
    <row r="72">
      <c r="A72" s="2" t="n">
        <v>71</v>
      </c>
      <c r="B72" s="2" t="inlineStr">
        <is>
          <t>Team treadmill equipment</t>
        </is>
      </c>
      <c r="C72" s="2" t="inlineStr">
        <is>
          <t>Art/Decor</t>
        </is>
      </c>
      <c r="D72" s="2" t="n">
        <v>282</v>
      </c>
      <c r="E72" s="2" t="inlineStr">
        <is>
          <t>UNIT</t>
        </is>
      </c>
      <c r="F72" s="3" t="n">
        <v>11863.85</v>
      </c>
      <c r="G72" s="3">
        <f>D72*F72</f>
        <v/>
      </c>
      <c r="H72" s="2" t="inlineStr">
        <is>
          <t>Installed</t>
        </is>
      </c>
      <c r="I72" s="2" t="inlineStr">
        <is>
          <t>JBL Professional</t>
        </is>
      </c>
      <c r="J72" s="2" t="inlineStr">
        <is>
          <t>PO-2026-0071</t>
        </is>
      </c>
      <c r="K72" s="4" t="n">
        <v>46062</v>
      </c>
      <c r="L72" s="4" t="n">
        <v>46213</v>
      </c>
      <c r="M72" s="4" t="n">
        <v>46221</v>
      </c>
      <c r="N72" s="5">
        <f>L72-K72</f>
        <v/>
      </c>
      <c r="O72" s="5">
        <f>IF(M72&gt;"",IF(M72&gt;L72,M72-L72,0),"")</f>
        <v/>
      </c>
      <c r="P72" s="4" t="n">
        <v>46221</v>
      </c>
      <c r="Q72" s="2" t="inlineStr">
        <is>
          <t>Owner</t>
        </is>
      </c>
      <c r="R72" s="2" t="inlineStr"/>
    </row>
    <row r="73">
      <c r="A73" s="2" t="n">
        <v>72</v>
      </c>
      <c r="B73" s="2" t="inlineStr">
        <is>
          <t>Laundry equipment</t>
        </is>
      </c>
      <c r="C73" s="2" t="inlineStr">
        <is>
          <t>Kitchen/F&amp;B</t>
        </is>
      </c>
      <c r="D73" s="2" t="n">
        <v>221</v>
      </c>
      <c r="E73" s="2" t="inlineStr">
        <is>
          <t>YD</t>
        </is>
      </c>
      <c r="F73" s="3" t="n">
        <v>18616.03</v>
      </c>
      <c r="G73" s="3">
        <f>D73*F73</f>
        <v/>
      </c>
      <c r="H73" s="2" t="inlineStr">
        <is>
          <t>Installed</t>
        </is>
      </c>
      <c r="I73" s="2" t="inlineStr">
        <is>
          <t>Hobart Corp</t>
        </is>
      </c>
      <c r="J73" s="2" t="inlineStr">
        <is>
          <t>PO-2026-0072</t>
        </is>
      </c>
      <c r="K73" s="4" t="n">
        <v>45890</v>
      </c>
      <c r="L73" s="4" t="n">
        <v>45950</v>
      </c>
      <c r="M73" s="4" t="n">
        <v>45945</v>
      </c>
      <c r="N73" s="5">
        <f>L73-K73</f>
        <v/>
      </c>
      <c r="O73" s="5">
        <f>IF(M73&gt;"",IF(M73&gt;L73,M73-L73,0),"")</f>
        <v/>
      </c>
      <c r="P73" s="4" t="n">
        <v>45981</v>
      </c>
      <c r="Q73" s="2" t="inlineStr">
        <is>
          <t>GC</t>
        </is>
      </c>
      <c r="R73" s="2" t="inlineStr"/>
    </row>
    <row r="74">
      <c r="A74" s="2" t="n">
        <v>73</v>
      </c>
      <c r="B74" s="2" t="inlineStr">
        <is>
          <t>Suite refrigerator units</t>
        </is>
      </c>
      <c r="C74" s="2" t="inlineStr">
        <is>
          <t>Art/Decor</t>
        </is>
      </c>
      <c r="D74" s="2" t="n">
        <v>393</v>
      </c>
      <c r="E74" s="2" t="inlineStr">
        <is>
          <t>PR</t>
        </is>
      </c>
      <c r="F74" s="3" t="n">
        <v>7474.14</v>
      </c>
      <c r="G74" s="3">
        <f>D74*F74</f>
        <v/>
      </c>
      <c r="H74" s="2" t="inlineStr">
        <is>
          <t>Ordered</t>
        </is>
      </c>
      <c r="I74" s="2" t="inlineStr">
        <is>
          <t>Steelcase Inc.</t>
        </is>
      </c>
      <c r="J74" s="2" t="inlineStr">
        <is>
          <t>PO-2026-0073</t>
        </is>
      </c>
      <c r="K74" s="4" t="n">
        <v>45763</v>
      </c>
      <c r="L74" s="4" t="n">
        <v>45840</v>
      </c>
      <c r="M74" s="2" t="inlineStr"/>
      <c r="N74" s="5">
        <f>L74-K74</f>
        <v/>
      </c>
      <c r="O74" s="5">
        <f>IF(M74&gt;"",IF(M74&gt;L74,M74-L74,0),"")</f>
        <v/>
      </c>
      <c r="P74" s="4" t="n">
        <v>45874</v>
      </c>
      <c r="Q74" s="2" t="inlineStr">
        <is>
          <t>GC</t>
        </is>
      </c>
      <c r="R74" s="2" t="inlineStr"/>
    </row>
    <row r="75">
      <c r="A75" s="2" t="n">
        <v>74</v>
      </c>
      <c r="B75" s="2" t="inlineStr">
        <is>
          <t>Wall art &amp; photo murals</t>
        </is>
      </c>
      <c r="C75" s="2" t="inlineStr">
        <is>
          <t>Furniture</t>
        </is>
      </c>
      <c r="D75" s="2" t="n">
        <v>70</v>
      </c>
      <c r="E75" s="2" t="inlineStr">
        <is>
          <t>YD</t>
        </is>
      </c>
      <c r="F75" s="3" t="n">
        <v>6602.97</v>
      </c>
      <c r="G75" s="3">
        <f>D75*F75</f>
        <v/>
      </c>
      <c r="H75" s="2" t="inlineStr">
        <is>
          <t>Complete</t>
        </is>
      </c>
      <c r="I75" s="2" t="inlineStr">
        <is>
          <t>Honeywell Building</t>
        </is>
      </c>
      <c r="J75" s="2" t="inlineStr">
        <is>
          <t>PO-2026-0074</t>
        </is>
      </c>
      <c r="K75" s="4" t="n">
        <v>45992</v>
      </c>
      <c r="L75" s="4" t="n">
        <v>46076</v>
      </c>
      <c r="M75" s="4" t="n">
        <v>46084</v>
      </c>
      <c r="N75" s="5">
        <f>L75-K75</f>
        <v/>
      </c>
      <c r="O75" s="5">
        <f>IF(M75&gt;"",IF(M75&gt;L75,M75-L75,0),"")</f>
        <v/>
      </c>
      <c r="P75" s="4" t="n">
        <v>46120</v>
      </c>
      <c r="Q75" s="2" t="inlineStr">
        <is>
          <t>Owner</t>
        </is>
      </c>
      <c r="R75" s="2" t="inlineStr"/>
    </row>
    <row r="76">
      <c r="A76" s="2" t="n">
        <v>75</v>
      </c>
      <c r="B76" s="2" t="inlineStr">
        <is>
          <t>First aid stations</t>
        </is>
      </c>
      <c r="C76" s="2" t="inlineStr">
        <is>
          <t>AV/Technology</t>
        </is>
      </c>
      <c r="D76" s="2" t="n">
        <v>43</v>
      </c>
      <c r="E76" s="2" t="inlineStr">
        <is>
          <t>YD</t>
        </is>
      </c>
      <c r="F76" s="3" t="n">
        <v>6488.35</v>
      </c>
      <c r="G76" s="3">
        <f>D76*F76</f>
        <v/>
      </c>
      <c r="H76" s="2" t="inlineStr">
        <is>
          <t>Not Started</t>
        </is>
      </c>
      <c r="I76" s="2" t="inlineStr">
        <is>
          <t>Samsung Display</t>
        </is>
      </c>
      <c r="J76" s="2" t="inlineStr">
        <is>
          <t>PO-2026-0075</t>
        </is>
      </c>
      <c r="K76" s="4" t="n">
        <v>45695</v>
      </c>
      <c r="L76" s="4" t="n">
        <v>45823</v>
      </c>
      <c r="M76" s="2" t="inlineStr"/>
      <c r="N76" s="5">
        <f>L76-K76</f>
        <v/>
      </c>
      <c r="O76" s="5">
        <f>IF(M76&gt;"",IF(M76&gt;L76,M76-L76,0),"")</f>
        <v/>
      </c>
      <c r="P76" s="4" t="n">
        <v>45830</v>
      </c>
      <c r="Q76" s="2" t="inlineStr">
        <is>
          <t>Owner</t>
        </is>
      </c>
      <c r="R76" s="2" t="inlineStr"/>
    </row>
    <row r="77">
      <c r="A77" s="2" t="n">
        <v>76</v>
      </c>
      <c r="B77" s="2" t="inlineStr">
        <is>
          <t>Ticket printer equipment</t>
        </is>
      </c>
      <c r="C77" s="2" t="inlineStr">
        <is>
          <t>Uniforms</t>
        </is>
      </c>
      <c r="D77" s="2" t="n">
        <v>289</v>
      </c>
      <c r="E77" s="2" t="inlineStr">
        <is>
          <t>SF</t>
        </is>
      </c>
      <c r="F77" s="3" t="n">
        <v>2183.88</v>
      </c>
      <c r="G77" s="3">
        <f>D77*F77</f>
        <v/>
      </c>
      <c r="H77" s="2" t="inlineStr">
        <is>
          <t>Complete</t>
        </is>
      </c>
      <c r="I77" s="2" t="inlineStr">
        <is>
          <t>Hobart Corp</t>
        </is>
      </c>
      <c r="J77" s="2" t="inlineStr">
        <is>
          <t>PO-2026-0076</t>
        </is>
      </c>
      <c r="K77" s="4" t="n">
        <v>46055</v>
      </c>
      <c r="L77" s="4" t="n">
        <v>46221</v>
      </c>
      <c r="M77" s="4" t="n">
        <v>46215</v>
      </c>
      <c r="N77" s="5">
        <f>L77-K77</f>
        <v/>
      </c>
      <c r="O77" s="5">
        <f>IF(M77&gt;"",IF(M77&gt;L77,M77-L77,0),"")</f>
        <v/>
      </c>
      <c r="P77" s="4" t="n">
        <v>46249</v>
      </c>
      <c r="Q77" s="2" t="inlineStr">
        <is>
          <t>Vendor</t>
        </is>
      </c>
      <c r="R77" s="2" t="inlineStr"/>
    </row>
    <row r="78">
      <c r="A78" s="2" t="n">
        <v>77</v>
      </c>
      <c r="B78" s="2" t="inlineStr">
        <is>
          <t>Field maintenance tools</t>
        </is>
      </c>
      <c r="C78" s="2" t="inlineStr">
        <is>
          <t>Signage</t>
        </is>
      </c>
      <c r="D78" s="2" t="n">
        <v>291</v>
      </c>
      <c r="E78" s="2" t="inlineStr">
        <is>
          <t>GL</t>
        </is>
      </c>
      <c r="F78" s="3" t="n">
        <v>4826.01</v>
      </c>
      <c r="G78" s="3">
        <f>D78*F78</f>
        <v/>
      </c>
      <c r="H78" s="2" t="inlineStr">
        <is>
          <t>Installed</t>
        </is>
      </c>
      <c r="I78" s="2" t="inlineStr">
        <is>
          <t>Ferguson Enterprises</t>
        </is>
      </c>
      <c r="J78" s="2" t="inlineStr">
        <is>
          <t>PO-2026-0077</t>
        </is>
      </c>
      <c r="K78" s="4" t="n">
        <v>45833</v>
      </c>
      <c r="L78" s="4" t="n">
        <v>45997</v>
      </c>
      <c r="M78" s="4" t="n">
        <v>46010</v>
      </c>
      <c r="N78" s="5">
        <f>L78-K78</f>
        <v/>
      </c>
      <c r="O78" s="5">
        <f>IF(M78&gt;"",IF(M78&gt;L78,M78-L78,0),"")</f>
        <v/>
      </c>
      <c r="P78" s="4" t="n">
        <v>46037</v>
      </c>
      <c r="Q78" s="2" t="inlineStr">
        <is>
          <t>GC</t>
        </is>
      </c>
      <c r="R78" s="2" t="inlineStr"/>
    </row>
    <row r="79">
      <c r="A79" s="2" t="n">
        <v>78</v>
      </c>
      <c r="B79" s="2" t="inlineStr">
        <is>
          <t>Stadium bowl handrails</t>
        </is>
      </c>
      <c r="C79" s="2" t="inlineStr">
        <is>
          <t>OS&amp;E</t>
        </is>
      </c>
      <c r="D79" s="2" t="n">
        <v>465</v>
      </c>
      <c r="E79" s="2" t="inlineStr">
        <is>
          <t>SET</t>
        </is>
      </c>
      <c r="F79" s="3" t="n">
        <v>19703.65</v>
      </c>
      <c r="G79" s="3">
        <f>D79*F79</f>
        <v/>
      </c>
      <c r="H79" s="2" t="inlineStr">
        <is>
          <t>Received</t>
        </is>
      </c>
      <c r="I79" s="2" t="inlineStr">
        <is>
          <t>True Refrigeration</t>
        </is>
      </c>
      <c r="J79" s="2" t="inlineStr">
        <is>
          <t>PO-2026-0078</t>
        </is>
      </c>
      <c r="K79" s="4" t="n">
        <v>45755</v>
      </c>
      <c r="L79" s="4" t="n">
        <v>45908</v>
      </c>
      <c r="M79" s="4" t="n">
        <v>45928</v>
      </c>
      <c r="N79" s="5">
        <f>L79-K79</f>
        <v/>
      </c>
      <c r="O79" s="5">
        <f>IF(M79&gt;"",IF(M79&gt;L79,M79-L79,0),"")</f>
        <v/>
      </c>
      <c r="P79" s="4" t="n">
        <v>45942</v>
      </c>
      <c r="Q79" s="2" t="inlineStr">
        <is>
          <t>Vendor</t>
        </is>
      </c>
      <c r="R79" s="2" t="inlineStr"/>
    </row>
    <row r="80">
      <c r="A80" s="2" t="n">
        <v>79</v>
      </c>
      <c r="B80" s="2" t="inlineStr">
        <is>
          <t>Concession sneeze guards</t>
        </is>
      </c>
      <c r="C80" s="2" t="inlineStr">
        <is>
          <t>Equipment</t>
        </is>
      </c>
      <c r="D80" s="2" t="n">
        <v>29</v>
      </c>
      <c r="E80" s="2" t="inlineStr">
        <is>
          <t>SF</t>
        </is>
      </c>
      <c r="F80" s="3" t="n">
        <v>1122.93</v>
      </c>
      <c r="G80" s="3">
        <f>D80*F80</f>
        <v/>
      </c>
      <c r="H80" s="2" t="inlineStr">
        <is>
          <t>Complete</t>
        </is>
      </c>
      <c r="I80" s="2" t="inlineStr">
        <is>
          <t>True Refrigeration</t>
        </is>
      </c>
      <c r="J80" s="2" t="inlineStr">
        <is>
          <t>PO-2026-0079</t>
        </is>
      </c>
      <c r="K80" s="4" t="n">
        <v>45877</v>
      </c>
      <c r="L80" s="4" t="n">
        <v>45963</v>
      </c>
      <c r="M80" s="4" t="n">
        <v>45954</v>
      </c>
      <c r="N80" s="5">
        <f>L80-K80</f>
        <v/>
      </c>
      <c r="O80" s="5">
        <f>IF(M80&gt;"",IF(M80&gt;L80,M80-L80,0),"")</f>
        <v/>
      </c>
      <c r="P80" s="4" t="n">
        <v>45993</v>
      </c>
      <c r="Q80" s="2" t="inlineStr">
        <is>
          <t>GC</t>
        </is>
      </c>
      <c r="R80" s="2" t="inlineStr">
        <is>
          <t>Notes for item 79</t>
        </is>
      </c>
    </row>
    <row r="81">
      <c r="A81" s="2" t="n">
        <v>80</v>
      </c>
      <c r="B81" s="2" t="inlineStr">
        <is>
          <t>PA amplifier racks</t>
        </is>
      </c>
      <c r="C81" s="2" t="inlineStr">
        <is>
          <t>Furniture</t>
        </is>
      </c>
      <c r="D81" s="2" t="n">
        <v>48</v>
      </c>
      <c r="E81" s="2" t="inlineStr">
        <is>
          <t>YD</t>
        </is>
      </c>
      <c r="F81" s="3" t="n">
        <v>2245.14</v>
      </c>
      <c r="G81" s="3">
        <f>D81*F81</f>
        <v/>
      </c>
      <c r="H81" s="2" t="inlineStr">
        <is>
          <t>Installed</t>
        </is>
      </c>
      <c r="I81" s="2" t="inlineStr">
        <is>
          <t>Eaton Corp</t>
        </is>
      </c>
      <c r="J81" s="2" t="inlineStr">
        <is>
          <t>PO-2026-0080</t>
        </is>
      </c>
      <c r="K81" s="4" t="n">
        <v>45887</v>
      </c>
      <c r="L81" s="4" t="n">
        <v>46003</v>
      </c>
      <c r="M81" s="4" t="n">
        <v>46023</v>
      </c>
      <c r="N81" s="5">
        <f>L81-K81</f>
        <v/>
      </c>
      <c r="O81" s="5">
        <f>IF(M81&gt;"",IF(M81&gt;L81,M81-L81,0),"")</f>
        <v/>
      </c>
      <c r="P81" s="4" t="n">
        <v>46034</v>
      </c>
      <c r="Q81" s="2" t="inlineStr">
        <is>
          <t>GC</t>
        </is>
      </c>
      <c r="R81" s="2" t="inlineStr"/>
    </row>
    <row r="82">
      <c r="A82" s="2" t="n">
        <v>81</v>
      </c>
      <c r="B82" s="2" t="inlineStr">
        <is>
          <t>Team meeting room chairs</t>
        </is>
      </c>
      <c r="C82" s="2" t="inlineStr">
        <is>
          <t>Uniforms</t>
        </is>
      </c>
      <c r="D82" s="2" t="n">
        <v>129</v>
      </c>
      <c r="E82" s="2" t="inlineStr">
        <is>
          <t>SET</t>
        </is>
      </c>
      <c r="F82" s="3" t="n">
        <v>6549.37</v>
      </c>
      <c r="G82" s="3">
        <f>D82*F82</f>
        <v/>
      </c>
      <c r="H82" s="2" t="inlineStr">
        <is>
          <t>Complete</t>
        </is>
      </c>
      <c r="I82" s="2" t="inlineStr">
        <is>
          <t>Ferguson Enterprises</t>
        </is>
      </c>
      <c r="J82" s="2" t="inlineStr">
        <is>
          <t>PO-2026-0081</t>
        </is>
      </c>
      <c r="K82" s="4" t="n">
        <v>45719</v>
      </c>
      <c r="L82" s="4" t="n">
        <v>45899</v>
      </c>
      <c r="M82" s="4" t="n">
        <v>45896</v>
      </c>
      <c r="N82" s="5">
        <f>L82-K82</f>
        <v/>
      </c>
      <c r="O82" s="5">
        <f>IF(M82&gt;"",IF(M82&gt;L82,M82-L82,0),"")</f>
        <v/>
      </c>
      <c r="P82" s="4" t="n">
        <v>45940</v>
      </c>
      <c r="Q82" s="2" t="inlineStr">
        <is>
          <t>GC</t>
        </is>
      </c>
      <c r="R82" s="2" t="inlineStr">
        <is>
          <t>Notes for item 81</t>
        </is>
      </c>
    </row>
    <row r="83">
      <c r="A83" s="2" t="n">
        <v>82</v>
      </c>
      <c r="B83" s="2" t="inlineStr">
        <is>
          <t>Kitchen utensil kits</t>
        </is>
      </c>
      <c r="C83" s="2" t="inlineStr">
        <is>
          <t>Kitchen/F&amp;B</t>
        </is>
      </c>
      <c r="D83" s="2" t="n">
        <v>69</v>
      </c>
      <c r="E83" s="2" t="inlineStr">
        <is>
          <t>RL</t>
        </is>
      </c>
      <c r="F83" s="3" t="n">
        <v>8774.41</v>
      </c>
      <c r="G83" s="3">
        <f>D83*F83</f>
        <v/>
      </c>
      <c r="H83" s="2" t="inlineStr">
        <is>
          <t>Complete</t>
        </is>
      </c>
      <c r="I83" s="2" t="inlineStr">
        <is>
          <t>American Seating</t>
        </is>
      </c>
      <c r="J83" s="2" t="inlineStr">
        <is>
          <t>PO-2026-0082</t>
        </is>
      </c>
      <c r="K83" s="4" t="n">
        <v>46135</v>
      </c>
      <c r="L83" s="4" t="n">
        <v>46304</v>
      </c>
      <c r="M83" s="4" t="n">
        <v>46301</v>
      </c>
      <c r="N83" s="5">
        <f>L83-K83</f>
        <v/>
      </c>
      <c r="O83" s="5">
        <f>IF(M83&gt;"",IF(M83&gt;L83,M83-L83,0),"")</f>
        <v/>
      </c>
      <c r="P83" s="4" t="n">
        <v>46314</v>
      </c>
      <c r="Q83" s="2" t="inlineStr">
        <is>
          <t>Vendor</t>
        </is>
      </c>
      <c r="R83" s="2" t="inlineStr"/>
    </row>
    <row r="84">
      <c r="A84" s="2" t="n">
        <v>83</v>
      </c>
      <c r="B84" s="2" t="inlineStr">
        <is>
          <t>Signage - sponsor panels</t>
        </is>
      </c>
      <c r="C84" s="2" t="inlineStr">
        <is>
          <t>Furniture</t>
        </is>
      </c>
      <c r="D84" s="2" t="n">
        <v>206</v>
      </c>
      <c r="E84" s="2" t="inlineStr">
        <is>
          <t>UNIT</t>
        </is>
      </c>
      <c r="F84" s="3" t="n">
        <v>11246.54</v>
      </c>
      <c r="G84" s="3">
        <f>D84*F84</f>
        <v/>
      </c>
      <c r="H84" s="2" t="inlineStr">
        <is>
          <t>Not Started</t>
        </is>
      </c>
      <c r="I84" s="2" t="inlineStr">
        <is>
          <t>ASM Global</t>
        </is>
      </c>
      <c r="J84" s="2" t="inlineStr">
        <is>
          <t>PO-2026-0083</t>
        </is>
      </c>
      <c r="K84" s="4" t="n">
        <v>45832</v>
      </c>
      <c r="L84" s="4" t="n">
        <v>46005</v>
      </c>
      <c r="M84" s="2" t="inlineStr"/>
      <c r="N84" s="5">
        <f>L84-K84</f>
        <v/>
      </c>
      <c r="O84" s="5">
        <f>IF(M84&gt;"",IF(M84&gt;L84,M84-L84,0),"")</f>
        <v/>
      </c>
      <c r="P84" s="4" t="n">
        <v>46036</v>
      </c>
      <c r="Q84" s="2" t="inlineStr">
        <is>
          <t>Vendor</t>
        </is>
      </c>
      <c r="R84" s="2" t="inlineStr"/>
    </row>
    <row r="85">
      <c r="A85" s="2" t="n">
        <v>84</v>
      </c>
      <c r="B85" s="2" t="inlineStr">
        <is>
          <t>Gym floor covers</t>
        </is>
      </c>
      <c r="C85" s="2" t="inlineStr">
        <is>
          <t>Signage</t>
        </is>
      </c>
      <c r="D85" s="2" t="n">
        <v>121</v>
      </c>
      <c r="E85" s="2" t="inlineStr">
        <is>
          <t>SET</t>
        </is>
      </c>
      <c r="F85" s="3" t="n">
        <v>13595.14</v>
      </c>
      <c r="G85" s="3">
        <f>D85*F85</f>
        <v/>
      </c>
      <c r="H85" s="2" t="inlineStr">
        <is>
          <t>Not Started</t>
        </is>
      </c>
      <c r="I85" s="2" t="inlineStr">
        <is>
          <t>Sherwin-Williams</t>
        </is>
      </c>
      <c r="J85" s="2" t="inlineStr">
        <is>
          <t>PO-2026-0084</t>
        </is>
      </c>
      <c r="K85" s="4" t="n">
        <v>45663</v>
      </c>
      <c r="L85" s="4" t="n">
        <v>45778</v>
      </c>
      <c r="M85" s="2" t="inlineStr"/>
      <c r="N85" s="5">
        <f>L85-K85</f>
        <v/>
      </c>
      <c r="O85" s="5">
        <f>IF(M85&gt;"",IF(M85&gt;L85,M85-L85,0),"")</f>
        <v/>
      </c>
      <c r="P85" s="4" t="n">
        <v>45818</v>
      </c>
      <c r="Q85" s="2" t="inlineStr">
        <is>
          <t>GC</t>
        </is>
      </c>
      <c r="R85" s="2" t="inlineStr">
        <is>
          <t>Notes for item 84</t>
        </is>
      </c>
    </row>
    <row r="86">
      <c r="A86" s="2" t="n">
        <v>85</v>
      </c>
      <c r="B86" s="2" t="inlineStr">
        <is>
          <t>Training sleds &amp; pads</t>
        </is>
      </c>
      <c r="C86" s="2" t="inlineStr">
        <is>
          <t>Art/Decor</t>
        </is>
      </c>
      <c r="D86" s="2" t="n">
        <v>436</v>
      </c>
      <c r="E86" s="2" t="inlineStr">
        <is>
          <t>GL</t>
        </is>
      </c>
      <c r="F86" s="3" t="n">
        <v>18950.94</v>
      </c>
      <c r="G86" s="3">
        <f>D86*F86</f>
        <v/>
      </c>
      <c r="H86" s="2" t="inlineStr">
        <is>
          <t>Shipped</t>
        </is>
      </c>
      <c r="I86" s="2" t="inlineStr">
        <is>
          <t>Philips Lighting</t>
        </is>
      </c>
      <c r="J86" s="2" t="inlineStr">
        <is>
          <t>PO-2026-0085</t>
        </is>
      </c>
      <c r="K86" s="4" t="n">
        <v>45701</v>
      </c>
      <c r="L86" s="4" t="n">
        <v>45797</v>
      </c>
      <c r="M86" s="2" t="inlineStr"/>
      <c r="N86" s="5">
        <f>L86-K86</f>
        <v/>
      </c>
      <c r="O86" s="5">
        <f>IF(M86&gt;"",IF(M86&gt;L86,M86-L86,0),"")</f>
        <v/>
      </c>
      <c r="P86" s="4" t="n">
        <v>45828</v>
      </c>
      <c r="Q86" s="2" t="inlineStr">
        <is>
          <t>Owner</t>
        </is>
      </c>
      <c r="R86" s="2" t="inlineStr"/>
    </row>
    <row r="87">
      <c r="A87" s="2" t="n">
        <v>86</v>
      </c>
      <c r="B87" s="2" t="inlineStr">
        <is>
          <t>Matrix board displays</t>
        </is>
      </c>
      <c r="C87" s="2" t="inlineStr">
        <is>
          <t>OS&amp;E</t>
        </is>
      </c>
      <c r="D87" s="2" t="n">
        <v>167</v>
      </c>
      <c r="E87" s="2" t="inlineStr">
        <is>
          <t>RL</t>
        </is>
      </c>
      <c r="F87" s="3" t="n">
        <v>5372.04</v>
      </c>
      <c r="G87" s="3">
        <f>D87*F87</f>
        <v/>
      </c>
      <c r="H87" s="2" t="inlineStr">
        <is>
          <t>Not Started</t>
        </is>
      </c>
      <c r="I87" s="2" t="inlineStr">
        <is>
          <t>ASM Global</t>
        </is>
      </c>
      <c r="J87" s="2" t="inlineStr">
        <is>
          <t>PO-2026-0086</t>
        </is>
      </c>
      <c r="K87" s="4" t="n">
        <v>45937</v>
      </c>
      <c r="L87" s="4" t="n">
        <v>46088</v>
      </c>
      <c r="M87" s="2" t="inlineStr"/>
      <c r="N87" s="5">
        <f>L87-K87</f>
        <v/>
      </c>
      <c r="O87" s="5">
        <f>IF(M87&gt;"",IF(M87&gt;L87,M87-L87,0),"")</f>
        <v/>
      </c>
      <c r="P87" s="4" t="n">
        <v>46122</v>
      </c>
      <c r="Q87" s="2" t="inlineStr">
        <is>
          <t>Owner</t>
        </is>
      </c>
      <c r="R87" s="2" t="inlineStr"/>
    </row>
    <row r="88">
      <c r="A88" s="2" t="n">
        <v>87</v>
      </c>
      <c r="B88" s="2" t="inlineStr">
        <is>
          <t>Bar refrigeration</t>
        </is>
      </c>
      <c r="C88" s="2" t="inlineStr">
        <is>
          <t>Signage</t>
        </is>
      </c>
      <c r="D88" s="2" t="n">
        <v>311</v>
      </c>
      <c r="E88" s="2" t="inlineStr">
        <is>
          <t>SET</t>
        </is>
      </c>
      <c r="F88" s="3" t="n">
        <v>10232.64</v>
      </c>
      <c r="G88" s="3">
        <f>D88*F88</f>
        <v/>
      </c>
      <c r="H88" s="2" t="inlineStr">
        <is>
          <t>Complete</t>
        </is>
      </c>
      <c r="I88" s="2" t="inlineStr">
        <is>
          <t>Hobart Corp</t>
        </is>
      </c>
      <c r="J88" s="2" t="inlineStr">
        <is>
          <t>PO-2026-0087</t>
        </is>
      </c>
      <c r="K88" s="4" t="n">
        <v>46124</v>
      </c>
      <c r="L88" s="4" t="n">
        <v>46160</v>
      </c>
      <c r="M88" s="4" t="n">
        <v>46178</v>
      </c>
      <c r="N88" s="5">
        <f>L88-K88</f>
        <v/>
      </c>
      <c r="O88" s="5">
        <f>IF(M88&gt;"",IF(M88&gt;L88,M88-L88,0),"")</f>
        <v/>
      </c>
      <c r="P88" s="4" t="n">
        <v>46195</v>
      </c>
      <c r="Q88" s="2" t="inlineStr">
        <is>
          <t>Vendor</t>
        </is>
      </c>
      <c r="R88" s="2" t="inlineStr"/>
    </row>
    <row r="89">
      <c r="A89" s="2" t="n">
        <v>88</v>
      </c>
      <c r="B89" s="2" t="inlineStr">
        <is>
          <t>Lobby seating group</t>
        </is>
      </c>
      <c r="C89" s="2" t="inlineStr">
        <is>
          <t>AV/Technology</t>
        </is>
      </c>
      <c r="D89" s="2" t="n">
        <v>500</v>
      </c>
      <c r="E89" s="2" t="inlineStr">
        <is>
          <t>SF</t>
        </is>
      </c>
      <c r="F89" s="3" t="n">
        <v>13100.03</v>
      </c>
      <c r="G89" s="3">
        <f>D89*F89</f>
        <v/>
      </c>
      <c r="H89" s="2" t="inlineStr">
        <is>
          <t>Complete</t>
        </is>
      </c>
      <c r="I89" s="2" t="inlineStr">
        <is>
          <t>ASM Global</t>
        </is>
      </c>
      <c r="J89" s="2" t="inlineStr">
        <is>
          <t>PO-2026-0088</t>
        </is>
      </c>
      <c r="K89" s="4" t="n">
        <v>46145</v>
      </c>
      <c r="L89" s="4" t="n">
        <v>46172</v>
      </c>
      <c r="M89" s="4" t="n">
        <v>46176</v>
      </c>
      <c r="N89" s="5">
        <f>L89-K89</f>
        <v/>
      </c>
      <c r="O89" s="5">
        <f>IF(M89&gt;"",IF(M89&gt;L89,M89-L89,0),"")</f>
        <v/>
      </c>
      <c r="P89" s="4" t="n">
        <v>46217</v>
      </c>
      <c r="Q89" s="2" t="inlineStr">
        <is>
          <t>Owner</t>
        </is>
      </c>
      <c r="R89" s="2" t="inlineStr">
        <is>
          <t>Notes for item 88</t>
        </is>
      </c>
    </row>
    <row r="90">
      <c r="A90" s="2" t="n">
        <v>89</v>
      </c>
      <c r="B90" s="2" t="inlineStr">
        <is>
          <t>Window blinds - all zones</t>
        </is>
      </c>
      <c r="C90" s="2" t="inlineStr">
        <is>
          <t>Art/Decor</t>
        </is>
      </c>
      <c r="D90" s="2" t="n">
        <v>239</v>
      </c>
      <c r="E90" s="2" t="inlineStr">
        <is>
          <t>PR</t>
        </is>
      </c>
      <c r="F90" s="3" t="n">
        <v>20937.72</v>
      </c>
      <c r="G90" s="3">
        <f>D90*F90</f>
        <v/>
      </c>
      <c r="H90" s="2" t="inlineStr">
        <is>
          <t>Not Started</t>
        </is>
      </c>
      <c r="I90" s="2" t="inlineStr">
        <is>
          <t>Steelcase Inc.</t>
        </is>
      </c>
      <c r="J90" s="2" t="inlineStr">
        <is>
          <t>PO-2026-0089</t>
        </is>
      </c>
      <c r="K90" s="4" t="n">
        <v>45847</v>
      </c>
      <c r="L90" s="4" t="n">
        <v>45901</v>
      </c>
      <c r="M90" s="2" t="inlineStr"/>
      <c r="N90" s="5">
        <f>L90-K90</f>
        <v/>
      </c>
      <c r="O90" s="5">
        <f>IF(M90&gt;"",IF(M90&gt;L90,M90-L90,0),"")</f>
        <v/>
      </c>
      <c r="P90" s="4" t="n">
        <v>45943</v>
      </c>
      <c r="Q90" s="2" t="inlineStr">
        <is>
          <t>Vendor</t>
        </is>
      </c>
      <c r="R90" s="2" t="inlineStr">
        <is>
          <t>Notes for item 89</t>
        </is>
      </c>
    </row>
    <row r="91">
      <c r="A91" s="2" t="n">
        <v>90</v>
      </c>
      <c r="B91" s="2" t="inlineStr">
        <is>
          <t>Team logo mats</t>
        </is>
      </c>
      <c r="C91" s="2" t="inlineStr">
        <is>
          <t>Textiles</t>
        </is>
      </c>
      <c r="D91" s="2" t="n">
        <v>382</v>
      </c>
      <c r="E91" s="2" t="inlineStr">
        <is>
          <t>EA</t>
        </is>
      </c>
      <c r="F91" s="3" t="n">
        <v>20549.75</v>
      </c>
      <c r="G91" s="3">
        <f>D91*F91</f>
        <v/>
      </c>
      <c r="H91" s="2" t="inlineStr">
        <is>
          <t>Shipped</t>
        </is>
      </c>
      <c r="I91" s="2" t="inlineStr">
        <is>
          <t>Philips Lighting</t>
        </is>
      </c>
      <c r="J91" s="2" t="inlineStr">
        <is>
          <t>PO-2026-0090</t>
        </is>
      </c>
      <c r="K91" s="4" t="n">
        <v>46143</v>
      </c>
      <c r="L91" s="4" t="n">
        <v>46322</v>
      </c>
      <c r="M91" s="2" t="inlineStr"/>
      <c r="N91" s="5">
        <f>L91-K91</f>
        <v/>
      </c>
      <c r="O91" s="5">
        <f>IF(M91&gt;"",IF(M91&gt;L91,M91-L91,0),"")</f>
        <v/>
      </c>
      <c r="P91" s="4" t="n">
        <v>46334</v>
      </c>
      <c r="Q91" s="2" t="inlineStr">
        <is>
          <t>Vendor</t>
        </is>
      </c>
      <c r="R91" s="2" t="inlineStr"/>
    </row>
    <row r="92">
      <c r="A92" s="2" t="n">
        <v>91</v>
      </c>
      <c r="B92" s="2" t="inlineStr">
        <is>
          <t>Concession POS tablets</t>
        </is>
      </c>
      <c r="C92" s="2" t="inlineStr">
        <is>
          <t>Kitchen/F&amp;B</t>
        </is>
      </c>
      <c r="D92" s="2" t="n">
        <v>242</v>
      </c>
      <c r="E92" s="2" t="inlineStr">
        <is>
          <t>SET</t>
        </is>
      </c>
      <c r="F92" s="3" t="n">
        <v>1798.35</v>
      </c>
      <c r="G92" s="3">
        <f>D92*F92</f>
        <v/>
      </c>
      <c r="H92" s="2" t="inlineStr">
        <is>
          <t>Not Started</t>
        </is>
      </c>
      <c r="I92" s="2" t="inlineStr">
        <is>
          <t>Samsung Display</t>
        </is>
      </c>
      <c r="J92" s="2" t="inlineStr">
        <is>
          <t>PO-2026-0091</t>
        </is>
      </c>
      <c r="K92" s="4" t="n">
        <v>45948</v>
      </c>
      <c r="L92" s="4" t="n">
        <v>45991</v>
      </c>
      <c r="M92" s="2" t="inlineStr"/>
      <c r="N92" s="5">
        <f>L92-K92</f>
        <v/>
      </c>
      <c r="O92" s="5">
        <f>IF(M92&gt;"",IF(M92&gt;L92,M92-L92,0),"")</f>
        <v/>
      </c>
      <c r="P92" s="4" t="n">
        <v>46036</v>
      </c>
      <c r="Q92" s="2" t="inlineStr">
        <is>
          <t>GC</t>
        </is>
      </c>
      <c r="R92" s="2" t="inlineStr"/>
    </row>
    <row r="93">
      <c r="A93" s="2" t="n">
        <v>92</v>
      </c>
      <c r="B93" s="2" t="inlineStr">
        <is>
          <t>Field chalk &amp; lining tools</t>
        </is>
      </c>
      <c r="C93" s="2" t="inlineStr">
        <is>
          <t>Furniture</t>
        </is>
      </c>
      <c r="D93" s="2" t="n">
        <v>207</v>
      </c>
      <c r="E93" s="2" t="inlineStr">
        <is>
          <t>SF</t>
        </is>
      </c>
      <c r="F93" s="3" t="n">
        <v>22148.7</v>
      </c>
      <c r="G93" s="3">
        <f>D93*F93</f>
        <v/>
      </c>
      <c r="H93" s="2" t="inlineStr">
        <is>
          <t>Not Started</t>
        </is>
      </c>
      <c r="I93" s="2" t="inlineStr">
        <is>
          <t>American Seating</t>
        </is>
      </c>
      <c r="J93" s="2" t="inlineStr">
        <is>
          <t>PO-2026-0092</t>
        </is>
      </c>
      <c r="K93" s="4" t="n">
        <v>46030</v>
      </c>
      <c r="L93" s="4" t="n">
        <v>46179</v>
      </c>
      <c r="M93" s="2" t="inlineStr"/>
      <c r="N93" s="5">
        <f>L93-K93</f>
        <v/>
      </c>
      <c r="O93" s="5">
        <f>IF(M93&gt;"",IF(M93&gt;L93,M93-L93,0),"")</f>
        <v/>
      </c>
      <c r="P93" s="4" t="n">
        <v>46204</v>
      </c>
      <c r="Q93" s="2" t="inlineStr">
        <is>
          <t>Owner</t>
        </is>
      </c>
      <c r="R93" s="2" t="inlineStr"/>
    </row>
    <row r="94">
      <c r="A94" s="2" t="n">
        <v>93</v>
      </c>
      <c r="B94" s="2" t="inlineStr">
        <is>
          <t>HDMI switching system</t>
        </is>
      </c>
      <c r="C94" s="2" t="inlineStr">
        <is>
          <t>AV/Technology</t>
        </is>
      </c>
      <c r="D94" s="2" t="n">
        <v>433</v>
      </c>
      <c r="E94" s="2" t="inlineStr">
        <is>
          <t>LF</t>
        </is>
      </c>
      <c r="F94" s="3" t="n">
        <v>13656.76</v>
      </c>
      <c r="G94" s="3">
        <f>D94*F94</f>
        <v/>
      </c>
      <c r="H94" s="2" t="inlineStr">
        <is>
          <t>Shipped</t>
        </is>
      </c>
      <c r="I94" s="2" t="inlineStr">
        <is>
          <t>Philips Lighting</t>
        </is>
      </c>
      <c r="J94" s="2" t="inlineStr">
        <is>
          <t>PO-2026-0093</t>
        </is>
      </c>
      <c r="K94" s="4" t="n">
        <v>45908</v>
      </c>
      <c r="L94" s="4" t="n">
        <v>45964</v>
      </c>
      <c r="M94" s="2" t="inlineStr"/>
      <c r="N94" s="5">
        <f>L94-K94</f>
        <v/>
      </c>
      <c r="O94" s="5">
        <f>IF(M94&gt;"",IF(M94&gt;L94,M94-L94,0),"")</f>
        <v/>
      </c>
      <c r="P94" s="4" t="n">
        <v>45987</v>
      </c>
      <c r="Q94" s="2" t="inlineStr">
        <is>
          <t>Owner</t>
        </is>
      </c>
      <c r="R94" s="2" t="inlineStr"/>
    </row>
    <row r="95">
      <c r="A95" s="2" t="n">
        <v>94</v>
      </c>
      <c r="B95" s="2" t="inlineStr">
        <is>
          <t>Suite cabinet hardware</t>
        </is>
      </c>
      <c r="C95" s="2" t="inlineStr">
        <is>
          <t>OS&amp;E</t>
        </is>
      </c>
      <c r="D95" s="2" t="n">
        <v>22</v>
      </c>
      <c r="E95" s="2" t="inlineStr">
        <is>
          <t>PR</t>
        </is>
      </c>
      <c r="F95" s="3" t="n">
        <v>7262.57</v>
      </c>
      <c r="G95" s="3">
        <f>D95*F95</f>
        <v/>
      </c>
      <c r="H95" s="2" t="inlineStr">
        <is>
          <t>Shipped</t>
        </is>
      </c>
      <c r="I95" s="2" t="inlineStr">
        <is>
          <t>Sherwin-Williams</t>
        </is>
      </c>
      <c r="J95" s="2" t="inlineStr">
        <is>
          <t>PO-2026-0094</t>
        </is>
      </c>
      <c r="K95" s="4" t="n">
        <v>45850</v>
      </c>
      <c r="L95" s="4" t="n">
        <v>45892</v>
      </c>
      <c r="M95" s="2" t="inlineStr"/>
      <c r="N95" s="5">
        <f>L95-K95</f>
        <v/>
      </c>
      <c r="O95" s="5">
        <f>IF(M95&gt;"",IF(M95&gt;L95,M95-L95,0),"")</f>
        <v/>
      </c>
      <c r="P95" s="4" t="n">
        <v>45909</v>
      </c>
      <c r="Q95" s="2" t="inlineStr">
        <is>
          <t>Vendor</t>
        </is>
      </c>
      <c r="R95" s="2" t="inlineStr"/>
    </row>
    <row r="96">
      <c r="A96" s="2" t="n">
        <v>95</v>
      </c>
      <c r="B96" s="2" t="inlineStr">
        <is>
          <t>Athletic tape &amp; supplies</t>
        </is>
      </c>
      <c r="C96" s="2" t="inlineStr">
        <is>
          <t>Furniture</t>
        </is>
      </c>
      <c r="D96" s="2" t="n">
        <v>285</v>
      </c>
      <c r="E96" s="2" t="inlineStr">
        <is>
          <t>PR</t>
        </is>
      </c>
      <c r="F96" s="3" t="n">
        <v>2304.85</v>
      </c>
      <c r="G96" s="3">
        <f>D96*F96</f>
        <v/>
      </c>
      <c r="H96" s="2" t="inlineStr">
        <is>
          <t>Complete</t>
        </is>
      </c>
      <c r="I96" s="2" t="inlineStr">
        <is>
          <t>JBL Professional</t>
        </is>
      </c>
      <c r="J96" s="2" t="inlineStr">
        <is>
          <t>PO-2026-0095</t>
        </is>
      </c>
      <c r="K96" s="4" t="n">
        <v>46061</v>
      </c>
      <c r="L96" s="4" t="n">
        <v>46090</v>
      </c>
      <c r="M96" s="4" t="n">
        <v>46090</v>
      </c>
      <c r="N96" s="5">
        <f>L96-K96</f>
        <v/>
      </c>
      <c r="O96" s="5">
        <f>IF(M96&gt;"",IF(M96&gt;L96,M96-L96,0),"")</f>
        <v/>
      </c>
      <c r="P96" s="4" t="n">
        <v>46122</v>
      </c>
      <c r="Q96" s="2" t="inlineStr">
        <is>
          <t>GC</t>
        </is>
      </c>
      <c r="R96" s="2" t="inlineStr"/>
    </row>
    <row r="97">
      <c r="A97" s="2" t="n">
        <v>96</v>
      </c>
      <c r="B97" s="2" t="inlineStr">
        <is>
          <t>Stadium evacuation signage</t>
        </is>
      </c>
      <c r="C97" s="2" t="inlineStr">
        <is>
          <t>AV/Technology</t>
        </is>
      </c>
      <c r="D97" s="2" t="n">
        <v>325</v>
      </c>
      <c r="E97" s="2" t="inlineStr">
        <is>
          <t>YD</t>
        </is>
      </c>
      <c r="F97" s="3" t="n">
        <v>17964.62</v>
      </c>
      <c r="G97" s="3">
        <f>D97*F97</f>
        <v/>
      </c>
      <c r="H97" s="2" t="inlineStr">
        <is>
          <t>Ordered</t>
        </is>
      </c>
      <c r="I97" s="2" t="inlineStr">
        <is>
          <t>Hobart Corp</t>
        </is>
      </c>
      <c r="J97" s="2" t="inlineStr">
        <is>
          <t>PO-2026-0096</t>
        </is>
      </c>
      <c r="K97" s="4" t="n">
        <v>46077</v>
      </c>
      <c r="L97" s="4" t="n">
        <v>46221</v>
      </c>
      <c r="M97" s="2" t="inlineStr"/>
      <c r="N97" s="5">
        <f>L97-K97</f>
        <v/>
      </c>
      <c r="O97" s="5">
        <f>IF(M97&gt;"",IF(M97&gt;L97,M97-L97,0),"")</f>
        <v/>
      </c>
      <c r="P97" s="4" t="n">
        <v>46232</v>
      </c>
      <c r="Q97" s="2" t="inlineStr">
        <is>
          <t>Owner</t>
        </is>
      </c>
      <c r="R97" s="2" t="inlineStr"/>
    </row>
    <row r="98">
      <c r="A98" s="2" t="n">
        <v>97</v>
      </c>
      <c r="B98" s="2" t="inlineStr">
        <is>
          <t>Server rack equipment</t>
        </is>
      </c>
      <c r="C98" s="2" t="inlineStr">
        <is>
          <t>Kitchen/F&amp;B</t>
        </is>
      </c>
      <c r="D98" s="2" t="n">
        <v>101</v>
      </c>
      <c r="E98" s="2" t="inlineStr">
        <is>
          <t>EA</t>
        </is>
      </c>
      <c r="F98" s="3" t="n">
        <v>21882.99</v>
      </c>
      <c r="G98" s="3">
        <f>D98*F98</f>
        <v/>
      </c>
      <c r="H98" s="2" t="inlineStr">
        <is>
          <t>Ordered</t>
        </is>
      </c>
      <c r="I98" s="2" t="inlineStr">
        <is>
          <t>Steelcase Inc.</t>
        </is>
      </c>
      <c r="J98" s="2" t="inlineStr">
        <is>
          <t>PO-2026-0097</t>
        </is>
      </c>
      <c r="K98" s="4" t="n">
        <v>45699</v>
      </c>
      <c r="L98" s="4" t="n">
        <v>45759</v>
      </c>
      <c r="M98" s="2" t="inlineStr"/>
      <c r="N98" s="5">
        <f>L98-K98</f>
        <v/>
      </c>
      <c r="O98" s="5">
        <f>IF(M98&gt;"",IF(M98&gt;L98,M98-L98,0),"")</f>
        <v/>
      </c>
      <c r="P98" s="4" t="n">
        <v>45773</v>
      </c>
      <c r="Q98" s="2" t="inlineStr">
        <is>
          <t>Vendor</t>
        </is>
      </c>
      <c r="R98" s="2" t="inlineStr"/>
    </row>
    <row r="99">
      <c r="A99" s="2" t="n">
        <v>98</v>
      </c>
      <c r="B99" s="2" t="inlineStr">
        <is>
          <t>Kitchen mobile carts</t>
        </is>
      </c>
      <c r="C99" s="2" t="inlineStr">
        <is>
          <t>Textiles</t>
        </is>
      </c>
      <c r="D99" s="2" t="n">
        <v>50</v>
      </c>
      <c r="E99" s="2" t="inlineStr">
        <is>
          <t>SET</t>
        </is>
      </c>
      <c r="F99" s="3" t="n">
        <v>52.96</v>
      </c>
      <c r="G99" s="3">
        <f>D99*F99</f>
        <v/>
      </c>
      <c r="H99" s="2" t="inlineStr">
        <is>
          <t>Complete</t>
        </is>
      </c>
      <c r="I99" s="2" t="inlineStr">
        <is>
          <t>Daktronics</t>
        </is>
      </c>
      <c r="J99" s="2" t="inlineStr">
        <is>
          <t>PO-2026-0098</t>
        </is>
      </c>
      <c r="K99" s="4" t="n">
        <v>45748</v>
      </c>
      <c r="L99" s="4" t="n">
        <v>45783</v>
      </c>
      <c r="M99" s="4" t="n">
        <v>45802</v>
      </c>
      <c r="N99" s="5">
        <f>L99-K99</f>
        <v/>
      </c>
      <c r="O99" s="5">
        <f>IF(M99&gt;"",IF(M99&gt;L99,M99-L99,0),"")</f>
        <v/>
      </c>
      <c r="P99" s="4" t="n">
        <v>45823</v>
      </c>
      <c r="Q99" s="2" t="inlineStr">
        <is>
          <t>Vendor</t>
        </is>
      </c>
      <c r="R99" s="2" t="inlineStr">
        <is>
          <t>Notes for item 98</t>
        </is>
      </c>
    </row>
    <row r="100">
      <c r="A100" s="2" t="n">
        <v>99</v>
      </c>
      <c r="B100" s="2" t="inlineStr">
        <is>
          <t>Fan experience photo booth</t>
        </is>
      </c>
      <c r="C100" s="2" t="inlineStr">
        <is>
          <t>Equipment</t>
        </is>
      </c>
      <c r="D100" s="2" t="n">
        <v>500</v>
      </c>
      <c r="E100" s="2" t="inlineStr">
        <is>
          <t>LF</t>
        </is>
      </c>
      <c r="F100" s="3" t="n">
        <v>14767.01</v>
      </c>
      <c r="G100" s="3">
        <f>D100*F100</f>
        <v/>
      </c>
      <c r="H100" s="2" t="inlineStr">
        <is>
          <t>Installed</t>
        </is>
      </c>
      <c r="I100" s="2" t="inlineStr">
        <is>
          <t>Steelcase Inc.</t>
        </is>
      </c>
      <c r="J100" s="2" t="inlineStr">
        <is>
          <t>PO-2026-0099</t>
        </is>
      </c>
      <c r="K100" s="4" t="n">
        <v>45973</v>
      </c>
      <c r="L100" s="4" t="n">
        <v>45999</v>
      </c>
      <c r="M100" s="4" t="n">
        <v>45990</v>
      </c>
      <c r="N100" s="5">
        <f>L100-K100</f>
        <v/>
      </c>
      <c r="O100" s="5">
        <f>IF(M100&gt;"",IF(M100&gt;L100,M100-L100,0),"")</f>
        <v/>
      </c>
      <c r="P100" s="4" t="n">
        <v>46025</v>
      </c>
      <c r="Q100" s="2" t="inlineStr">
        <is>
          <t>Owner</t>
        </is>
      </c>
      <c r="R100" s="2" t="inlineStr"/>
    </row>
    <row r="101">
      <c r="A101" s="2" t="n">
        <v>100</v>
      </c>
      <c r="B101" s="2" t="inlineStr">
        <is>
          <t>Team branded flags</t>
        </is>
      </c>
      <c r="C101" s="2" t="inlineStr">
        <is>
          <t>Uniforms</t>
        </is>
      </c>
      <c r="D101" s="2" t="n">
        <v>153</v>
      </c>
      <c r="E101" s="2" t="inlineStr">
        <is>
          <t>EA</t>
        </is>
      </c>
      <c r="F101" s="3" t="n">
        <v>22816.52</v>
      </c>
      <c r="G101" s="3">
        <f>D101*F101</f>
        <v/>
      </c>
      <c r="H101" s="2" t="inlineStr">
        <is>
          <t>Installed</t>
        </is>
      </c>
      <c r="I101" s="2" t="inlineStr">
        <is>
          <t>Daktronics</t>
        </is>
      </c>
      <c r="J101" s="2" t="inlineStr">
        <is>
          <t>PO-2026-0100</t>
        </is>
      </c>
      <c r="K101" s="4" t="n">
        <v>45899</v>
      </c>
      <c r="L101" s="4" t="n">
        <v>45974</v>
      </c>
      <c r="M101" s="4" t="n">
        <v>45981</v>
      </c>
      <c r="N101" s="5">
        <f>L101-K101</f>
        <v/>
      </c>
      <c r="O101" s="5">
        <f>IF(M101&gt;"",IF(M101&gt;L101,M101-L101,0),"")</f>
        <v/>
      </c>
      <c r="P101" s="4" t="n">
        <v>46002</v>
      </c>
      <c r="Q101" s="2" t="inlineStr">
        <is>
          <t>Owner</t>
        </is>
      </c>
      <c r="R101" s="2" t="inlineStr"/>
    </row>
    <row r="103">
      <c r="A103" s="6" t="inlineStr">
        <is>
          <t>SUMMARY BY STATUS</t>
        </is>
      </c>
    </row>
    <row r="104">
      <c r="A104" s="7" t="inlineStr">
        <is>
          <t>Status</t>
        </is>
      </c>
      <c r="B104" s="7" t="inlineStr">
        <is>
          <t>Count</t>
        </is>
      </c>
    </row>
    <row r="105">
      <c r="A105" s="8" t="inlineStr">
        <is>
          <t>Not Started</t>
        </is>
      </c>
      <c r="B105" s="9">
        <f>COUNTIF($H$2:$H$101,"Not Started")</f>
        <v/>
      </c>
    </row>
    <row r="106">
      <c r="A106" s="8" t="inlineStr">
        <is>
          <t>Ordered</t>
        </is>
      </c>
      <c r="B106" s="9">
        <f>COUNTIF($H$2:$H$101,"Ordered")</f>
        <v/>
      </c>
    </row>
    <row r="107">
      <c r="A107" s="8" t="inlineStr">
        <is>
          <t>Shipped</t>
        </is>
      </c>
      <c r="B107" s="9">
        <f>COUNTIF($H$2:$H$101,"Shipped")</f>
        <v/>
      </c>
    </row>
    <row r="108">
      <c r="A108" s="8" t="inlineStr">
        <is>
          <t>Received</t>
        </is>
      </c>
      <c r="B108" s="9">
        <f>COUNTIF($H$2:$H$101,"Received")</f>
        <v/>
      </c>
    </row>
    <row r="109">
      <c r="A109" s="8" t="inlineStr">
        <is>
          <t>Installed</t>
        </is>
      </c>
      <c r="B109" s="9">
        <f>COUNTIF($H$2:$H$101,"Installed")</f>
        <v/>
      </c>
    </row>
    <row r="110">
      <c r="A110" s="8" t="inlineStr">
        <is>
          <t>Complete</t>
        </is>
      </c>
      <c r="B110" s="9">
        <f>COUNTIF($H$2:$H$101,"Complete")</f>
        <v/>
      </c>
    </row>
    <row r="113">
      <c r="A113" s="6" t="inlineStr">
        <is>
          <t>SUMMARY BY CATEGORY</t>
        </is>
      </c>
    </row>
    <row r="114">
      <c r="A114" s="7" t="inlineStr">
        <is>
          <t>Category</t>
        </is>
      </c>
      <c r="B114" s="7" t="inlineStr">
        <is>
          <t>Count</t>
        </is>
      </c>
    </row>
    <row r="115">
      <c r="A115" s="8" t="inlineStr">
        <is>
          <t>Furniture</t>
        </is>
      </c>
      <c r="B115" s="9">
        <f>COUNTIF($C$2:$C$101,"Furniture")</f>
        <v/>
      </c>
    </row>
    <row r="116">
      <c r="A116" s="8" t="inlineStr">
        <is>
          <t>Equipment</t>
        </is>
      </c>
      <c r="B116" s="9">
        <f>COUNTIF($C$2:$C$101,"Equipment")</f>
        <v/>
      </c>
    </row>
    <row r="117">
      <c r="A117" s="8" t="inlineStr">
        <is>
          <t>AV/Technology</t>
        </is>
      </c>
      <c r="B117" s="9">
        <f>COUNTIF($C$2:$C$101,"AV/Technology")</f>
        <v/>
      </c>
    </row>
    <row r="118">
      <c r="A118" s="8" t="inlineStr">
        <is>
          <t>Kitchen/F&amp;B</t>
        </is>
      </c>
      <c r="B118" s="9">
        <f>COUNTIF($C$2:$C$101,"Kitchen/F&amp;B")</f>
        <v/>
      </c>
    </row>
    <row r="119">
      <c r="A119" s="8" t="inlineStr">
        <is>
          <t>Signage</t>
        </is>
      </c>
      <c r="B119" s="9">
        <f>COUNTIF($C$2:$C$101,"Signage")</f>
        <v/>
      </c>
    </row>
    <row r="120">
      <c r="A120" s="8" t="inlineStr">
        <is>
          <t>Textiles</t>
        </is>
      </c>
      <c r="B120" s="9">
        <f>COUNTIF($C$2:$C$101,"Textiles")</f>
        <v/>
      </c>
    </row>
    <row r="121">
      <c r="A121" s="8" t="inlineStr">
        <is>
          <t>Art/Decor</t>
        </is>
      </c>
      <c r="B121" s="9">
        <f>COUNTIF($C$2:$C$101,"Art/Decor")</f>
        <v/>
      </c>
    </row>
    <row r="122">
      <c r="A122" s="8" t="inlineStr">
        <is>
          <t>OS&amp;E</t>
        </is>
      </c>
      <c r="B122" s="9">
        <f>COUNTIF($C$2:$C$101,"OS&amp;E")</f>
        <v/>
      </c>
    </row>
    <row r="123">
      <c r="A123" s="8" t="inlineStr">
        <is>
          <t>Uniforms</t>
        </is>
      </c>
      <c r="B123" s="9">
        <f>COUNTIF($C$2:$C$101,"Uniforms")</f>
        <v/>
      </c>
    </row>
    <row r="124">
      <c r="A124" s="7" t="inlineStr">
        <is>
          <t>TOTAL ITEMS</t>
        </is>
      </c>
      <c r="B124" s="10">
        <f>COUNTA($A$2:$A$101)</f>
        <v/>
      </c>
    </row>
  </sheetData>
  <autoFilter ref="A1:R101"/>
  <mergeCells count="2">
    <mergeCell ref="A103:C103"/>
    <mergeCell ref="A113:C113"/>
  </mergeCells>
  <conditionalFormatting sqref="A2:R101">
    <cfRule type="expression" priority="1" dxfId="0">
      <formula>AND($M2&gt;"",$M2&gt;$L2)</formula>
    </cfRule>
  </conditionalFormatting>
  <dataValidations count="3">
    <dataValidation sqref="C2:C101" showDropDown="0" showInputMessage="0" showErrorMessage="0" allowBlank="1" errorTitle="Invalid Category" error="Please select a valid category." promptTitle="Category" prompt="Select a category" type="list">
      <formula1>"Furniture,Equipment,AV/Technology,Kitchen/F&amp;B,Signage,Textiles,Art/Decor,OS&amp;E,Uniforms"</formula1>
    </dataValidation>
    <dataValidation sqref="H2:H101" showDropDown="0" showInputMessage="0" showErrorMessage="0" allowBlank="1" errorTitle="Invalid Status" error="Please select a valid status." promptTitle="Status" prompt="Select a status" type="list">
      <formula1>"Not Started,Ordered,Shipped,Received,Installed,Complete"</formula1>
    </dataValidation>
    <dataValidation sqref="Q2:Q101" showDropDown="0" showInputMessage="0" showErrorMessage="0" allowBlank="1" errorTitle="Invalid F/I" error="Please select Owner, Vendor, or GC." promptTitle="F/I" prompt="Select F/I responsibility" type="list">
      <formula1>"Owner,Vendor,GC"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2026-06-07T19:53:21Z</dcterms:created>
  <dcterms:modified xmlns:dcterms="http://purl.org/dc/terms/" xmlns:xsi="http://www.w3.org/2001/XMLSchema-instance" xsi:type="dcterms:W3CDTF">2026-06-07T19:53:21Z</dcterms:modified>
</cp:coreProperties>
</file>