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color rgb="00008080"/>
      <sz val="14"/>
    </font>
    <font>
      <b val="1"/>
      <color rgb="00008080"/>
      <sz val="13"/>
    </font>
    <font>
      <b val="1"/>
      <color rgb="00008080"/>
      <sz val="12"/>
    </font>
  </fonts>
  <fills count="6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F2D9"/>
        <bgColor rgb="00D9F2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2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pivotButton="0" quotePrefix="0" xfId="0"/>
    <xf numFmtId="2" fontId="3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Criterion</t>
        </is>
      </c>
      <c r="B1" s="1" t="inlineStr">
        <is>
          <t>Weight (%)</t>
        </is>
      </c>
      <c r="C1" s="1" t="inlineStr">
        <is>
          <t>Vendor 1</t>
        </is>
      </c>
      <c r="D1" s="1" t="inlineStr">
        <is>
          <t>Vendor 2</t>
        </is>
      </c>
      <c r="E1" s="1" t="inlineStr">
        <is>
          <t>Vendor 3</t>
        </is>
      </c>
      <c r="F1" s="1" t="inlineStr">
        <is>
          <t>Vendor 4</t>
        </is>
      </c>
      <c r="G1" s="1" t="inlineStr">
        <is>
          <t>Max Score</t>
        </is>
      </c>
    </row>
    <row r="2" ht="24" customHeight="1">
      <c r="A2" s="2" t="inlineStr">
        <is>
          <t>Price / Cost Competitiveness</t>
        </is>
      </c>
      <c r="B2" s="3" t="n">
        <v>0.25</v>
      </c>
      <c r="C2" s="4" t="n"/>
      <c r="D2" s="4" t="n"/>
      <c r="E2" s="4" t="n"/>
      <c r="F2" s="4" t="n"/>
      <c r="G2" s="4" t="n">
        <v>10</v>
      </c>
    </row>
    <row r="3" ht="24" customHeight="1">
      <c r="A3" s="2" t="inlineStr">
        <is>
          <t>Experience / Qualifications</t>
        </is>
      </c>
      <c r="B3" s="3" t="n">
        <v>0.2</v>
      </c>
      <c r="C3" s="4" t="n"/>
      <c r="D3" s="4" t="n"/>
      <c r="E3" s="4" t="n"/>
      <c r="F3" s="4" t="n"/>
      <c r="G3" s="4" t="n">
        <v>10</v>
      </c>
    </row>
    <row r="4" ht="24" customHeight="1">
      <c r="A4" s="2" t="inlineStr">
        <is>
          <t>Schedule Compliance</t>
        </is>
      </c>
      <c r="B4" s="3" t="n">
        <v>0.15</v>
      </c>
      <c r="C4" s="4" t="n"/>
      <c r="D4" s="4" t="n"/>
      <c r="E4" s="4" t="n"/>
      <c r="F4" s="4" t="n"/>
      <c r="G4" s="4" t="n">
        <v>10</v>
      </c>
    </row>
    <row r="5" ht="24" customHeight="1">
      <c r="A5" s="2" t="inlineStr">
        <is>
          <t>Quality / References</t>
        </is>
      </c>
      <c r="B5" s="3" t="n">
        <v>0.15</v>
      </c>
      <c r="C5" s="4" t="n"/>
      <c r="D5" s="4" t="n"/>
      <c r="E5" s="4" t="n"/>
      <c r="F5" s="4" t="n"/>
      <c r="G5" s="4" t="n">
        <v>10</v>
      </c>
    </row>
    <row r="6" ht="24" customHeight="1">
      <c r="A6" s="2" t="inlineStr">
        <is>
          <t>Safety Record</t>
        </is>
      </c>
      <c r="B6" s="3" t="n">
        <v>0.1</v>
      </c>
      <c r="C6" s="4" t="n"/>
      <c r="D6" s="4" t="n"/>
      <c r="E6" s="4" t="n"/>
      <c r="F6" s="4" t="n"/>
      <c r="G6" s="4" t="n">
        <v>10</v>
      </c>
    </row>
    <row r="7" ht="24" customHeight="1">
      <c r="A7" s="2" t="inlineStr">
        <is>
          <t>Local Presence / Capacity</t>
        </is>
      </c>
      <c r="B7" s="3" t="n">
        <v>0.1</v>
      </c>
      <c r="C7" s="4" t="n"/>
      <c r="D7" s="4" t="n"/>
      <c r="E7" s="4" t="n"/>
      <c r="F7" s="4" t="n"/>
      <c r="G7" s="4" t="n">
        <v>10</v>
      </c>
    </row>
    <row r="8" ht="24" customHeight="1">
      <c r="A8" s="2" t="inlineStr">
        <is>
          <t>Warranty / Support</t>
        </is>
      </c>
      <c r="B8" s="3" t="n">
        <v>0.05</v>
      </c>
      <c r="C8" s="4" t="n"/>
      <c r="D8" s="4" t="n"/>
      <c r="E8" s="4" t="n"/>
      <c r="F8" s="4" t="n"/>
      <c r="G8" s="4" t="n">
        <v>10</v>
      </c>
    </row>
    <row r="9" ht="24" customHeight="1">
      <c r="A9" s="5" t="inlineStr">
        <is>
          <t>Weighted Score</t>
        </is>
      </c>
      <c r="B9" s="6" t="n"/>
      <c r="C9" s="7">
        <f>SUMPRODUCT($B$2:$B$8,C$2:C$8)</f>
        <v/>
      </c>
      <c r="D9" s="7">
        <f>SUMPRODUCT($B$2:$B$8,D$2:D$8)</f>
        <v/>
      </c>
      <c r="E9" s="7">
        <f>SUMPRODUCT($B$2:$B$8,E$2:E$8)</f>
        <v/>
      </c>
      <c r="F9" s="7">
        <f>SUMPRODUCT($B$2:$B$8,F$2:F$8)</f>
        <v/>
      </c>
      <c r="G9" s="6" t="n"/>
    </row>
    <row r="10" ht="24" customHeight="1">
      <c r="A10" s="8" t="inlineStr">
        <is>
          <t>Ranking</t>
        </is>
      </c>
      <c r="B10" s="9" t="n"/>
      <c r="C10" s="10">
        <f>IF(C9="","",RANK(C9,$C$9:$F$9))</f>
        <v/>
      </c>
      <c r="D10" s="10">
        <f>IF(D9="","",RANK(D9,$C$9:$F$9))</f>
        <v/>
      </c>
      <c r="E10" s="10">
        <f>IF(E9="","",RANK(E9,$C$9:$F$9))</f>
        <v/>
      </c>
      <c r="F10" s="10">
        <f>IF(F9="","",RANK(F9,$C$9:$F$9))</f>
        <v/>
      </c>
      <c r="G10" s="9" t="n"/>
    </row>
  </sheetData>
  <conditionalFormatting sqref="C2:F8">
    <cfRule type="colorScale" priority="1">
      <colorScale>
        <cfvo type="num" val="1"/>
        <cfvo type="num" val="5"/>
        <cfvo type="num" val="10"/>
        <color rgb="00FF0000"/>
        <color rgb="00FFFF00"/>
        <color rgb="0000FF00"/>
      </colorScale>
    </cfRule>
  </conditionalFormatting>
  <dataValidations count="1">
    <dataValidation sqref="C2:F8" showDropDown="0" showInputMessage="0" showErrorMessage="0" allowBlank="1" errorTitle="Invalid Score" error="Score must be an integer between 1 and 10." promptTitle="Vendor Score" prompt="Enter a score from 1 (low) to 10 (high)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32" customHeight="1">
      <c r="A1" s="11" t="inlineStr">
        <is>
          <t>Vendor Comparison — Top Scores per Criterion</t>
        </is>
      </c>
    </row>
    <row r="3">
      <c r="A3" s="1" t="inlineStr">
        <is>
          <t>Criterion</t>
        </is>
      </c>
      <c r="B3" s="1" t="inlineStr">
        <is>
          <t>Vendor 1</t>
        </is>
      </c>
      <c r="C3" s="1" t="inlineStr">
        <is>
          <t>Vendor 2</t>
        </is>
      </c>
      <c r="D3" s="1" t="inlineStr">
        <is>
          <t>Vendor 3</t>
        </is>
      </c>
      <c r="E3" s="1" t="inlineStr">
        <is>
          <t>Vendor 4</t>
        </is>
      </c>
      <c r="F3" s="1" t="inlineStr">
        <is>
          <t>Best Score</t>
        </is>
      </c>
    </row>
    <row r="4" ht="22" customHeight="1">
      <c r="A4" s="2" t="inlineStr">
        <is>
          <t>Price / Cost Competitiveness</t>
        </is>
      </c>
      <c r="B4" s="4">
        <f>'Evaluation Matrix'!C2</f>
        <v/>
      </c>
      <c r="C4" s="4">
        <f>'Evaluation Matrix'!D2</f>
        <v/>
      </c>
      <c r="D4" s="4">
        <f>'Evaluation Matrix'!E2</f>
        <v/>
      </c>
      <c r="E4" s="4">
        <f>'Evaluation Matrix'!F2</f>
        <v/>
      </c>
      <c r="F4" s="12">
        <f>MAX(B4:E4)</f>
        <v/>
      </c>
    </row>
    <row r="5" ht="22" customHeight="1">
      <c r="A5" s="2" t="inlineStr">
        <is>
          <t>Experience / Qualifications</t>
        </is>
      </c>
      <c r="B5" s="4">
        <f>'Evaluation Matrix'!C3</f>
        <v/>
      </c>
      <c r="C5" s="4">
        <f>'Evaluation Matrix'!D3</f>
        <v/>
      </c>
      <c r="D5" s="4">
        <f>'Evaluation Matrix'!E3</f>
        <v/>
      </c>
      <c r="E5" s="4">
        <f>'Evaluation Matrix'!F3</f>
        <v/>
      </c>
      <c r="F5" s="12">
        <f>MAX(B5:E5)</f>
        <v/>
      </c>
    </row>
    <row r="6" ht="22" customHeight="1">
      <c r="A6" s="2" t="inlineStr">
        <is>
          <t>Schedule Compliance</t>
        </is>
      </c>
      <c r="B6" s="4">
        <f>'Evaluation Matrix'!C4</f>
        <v/>
      </c>
      <c r="C6" s="4">
        <f>'Evaluation Matrix'!D4</f>
        <v/>
      </c>
      <c r="D6" s="4">
        <f>'Evaluation Matrix'!E4</f>
        <v/>
      </c>
      <c r="E6" s="4">
        <f>'Evaluation Matrix'!F4</f>
        <v/>
      </c>
      <c r="F6" s="12">
        <f>MAX(B6:E6)</f>
        <v/>
      </c>
    </row>
    <row r="7" ht="22" customHeight="1">
      <c r="A7" s="2" t="inlineStr">
        <is>
          <t>Quality / References</t>
        </is>
      </c>
      <c r="B7" s="4">
        <f>'Evaluation Matrix'!C5</f>
        <v/>
      </c>
      <c r="C7" s="4">
        <f>'Evaluation Matrix'!D5</f>
        <v/>
      </c>
      <c r="D7" s="4">
        <f>'Evaluation Matrix'!E5</f>
        <v/>
      </c>
      <c r="E7" s="4">
        <f>'Evaluation Matrix'!F5</f>
        <v/>
      </c>
      <c r="F7" s="12">
        <f>MAX(B7:E7)</f>
        <v/>
      </c>
    </row>
    <row r="8" ht="22" customHeight="1">
      <c r="A8" s="2" t="inlineStr">
        <is>
          <t>Safety Record</t>
        </is>
      </c>
      <c r="B8" s="4">
        <f>'Evaluation Matrix'!C6</f>
        <v/>
      </c>
      <c r="C8" s="4">
        <f>'Evaluation Matrix'!D6</f>
        <v/>
      </c>
      <c r="D8" s="4">
        <f>'Evaluation Matrix'!E6</f>
        <v/>
      </c>
      <c r="E8" s="4">
        <f>'Evaluation Matrix'!F6</f>
        <v/>
      </c>
      <c r="F8" s="12">
        <f>MAX(B8:E8)</f>
        <v/>
      </c>
    </row>
    <row r="9" ht="22" customHeight="1">
      <c r="A9" s="2" t="inlineStr">
        <is>
          <t>Local Presence / Capacity</t>
        </is>
      </c>
      <c r="B9" s="4">
        <f>'Evaluation Matrix'!C7</f>
        <v/>
      </c>
      <c r="C9" s="4">
        <f>'Evaluation Matrix'!D7</f>
        <v/>
      </c>
      <c r="D9" s="4">
        <f>'Evaluation Matrix'!E7</f>
        <v/>
      </c>
      <c r="E9" s="4">
        <f>'Evaluation Matrix'!F7</f>
        <v/>
      </c>
      <c r="F9" s="12">
        <f>MAX(B9:E9)</f>
        <v/>
      </c>
    </row>
    <row r="10" ht="22" customHeight="1">
      <c r="A10" s="2" t="inlineStr">
        <is>
          <t>Warranty / Support</t>
        </is>
      </c>
      <c r="B10" s="4">
        <f>'Evaluation Matrix'!C8</f>
        <v/>
      </c>
      <c r="C10" s="4">
        <f>'Evaluation Matrix'!D8</f>
        <v/>
      </c>
      <c r="D10" s="4">
        <f>'Evaluation Matrix'!E8</f>
        <v/>
      </c>
      <c r="E10" s="4">
        <f>'Evaluation Matrix'!F8</f>
        <v/>
      </c>
      <c r="F10" s="12">
        <f>MAX(B10:E10)</f>
        <v/>
      </c>
    </row>
    <row r="12" ht="28" customHeight="1">
      <c r="A12" s="13" t="inlineStr">
        <is>
          <t>Recommendation</t>
        </is>
      </c>
    </row>
    <row r="13">
      <c r="A13" s="14" t="inlineStr">
        <is>
          <t>Highest Weighted Score</t>
        </is>
      </c>
      <c r="B13" s="15">
        <f>'Evaluation Matrix'!C9</f>
        <v/>
      </c>
      <c r="C13" s="15">
        <f>'Evaluation Matrix'!D9</f>
        <v/>
      </c>
      <c r="D13" s="15">
        <f>'Evaluation Matrix'!E9</f>
        <v/>
      </c>
      <c r="E13" s="15">
        <f>'Evaluation Matrix'!F9</f>
        <v/>
      </c>
    </row>
    <row r="14">
      <c r="A14" s="16" t="inlineStr">
        <is>
          <t>Recommended Vendor</t>
        </is>
      </c>
      <c r="B14" s="17">
        <f>INDEX($B$13:$E$13,MATCH(MAX($B$13:$E$13),$B$13:$E$13,0))</f>
        <v/>
      </c>
      <c r="C14" s="18" t="n"/>
      <c r="D14" s="18" t="n"/>
      <c r="E14" s="18" t="n"/>
      <c r="F14" s="19" t="n"/>
    </row>
    <row r="16" ht="28" customHeight="1">
      <c r="A16" s="13" t="inlineStr">
        <is>
          <t>Notes &amp; Decision</t>
        </is>
      </c>
    </row>
    <row r="17">
      <c r="A17" s="20" t="inlineStr">
        <is>
          <t>Key Decision Factors: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>
      <c r="A31" s="20" t="inlineStr">
        <is>
          <t>Date: ____________________________________________</t>
        </is>
      </c>
    </row>
  </sheetData>
  <mergeCells count="5">
    <mergeCell ref="A16:F16"/>
    <mergeCell ref="A1:F1"/>
    <mergeCell ref="A17:F30"/>
    <mergeCell ref="A12:F12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2026-06-07T19:53:27Z</dcterms:created>
  <dcterms:modified xmlns:dcterms="http://purl.org/dc/terms/" xmlns:xsi="http://www.w3.org/2001/XMLSchema-instance" xsi:type="dcterms:W3CDTF">2026-06-07T19:53:27Z</dcterms:modified>
</cp:coreProperties>
</file>